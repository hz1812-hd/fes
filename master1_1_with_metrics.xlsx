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<sst xmlns="http://schemas.openxmlformats.org/spreadsheetml/2006/main" count="879" uniqueCount="154">
  <si>
    <t>BẢNG DỮ LIỆU MASTER SAU HỢP NHẤT (60 DÒNG, 80 CỘT)</t>
  </si>
  <si>
    <t>Total Records: 60 | Columns: 82</t>
  </si>
  <si>
    <t>company_id</t>
  </si>
  <si>
    <t>fiscal_year</t>
  </si>
  <si>
    <t>revenue_vnd_mn</t>
  </si>
  <si>
    <t>cost_of_goods_sold_vnd_mn</t>
  </si>
  <si>
    <t>gross_profit_vnd_mn</t>
  </si>
  <si>
    <t>selling_expense_vnd_mn</t>
  </si>
  <si>
    <t>administrative_expense_vnd_mn</t>
  </si>
  <si>
    <t>depreciation_amortization_vnd_mn</t>
  </si>
  <si>
    <t>operating_profit_vnd_mn</t>
  </si>
  <si>
    <t>finance_income_vnd_mn</t>
  </si>
  <si>
    <t>interest_expense_vnd_mn</t>
  </si>
  <si>
    <t>other_income_vnd_mn</t>
  </si>
  <si>
    <t>profit_before_tax_vnd_mn</t>
  </si>
  <si>
    <t>income_tax_expense_vnd_mn</t>
  </si>
  <si>
    <t>net_income_vnd_mn</t>
  </si>
  <si>
    <t>cash_and_cash_equivalents_vnd_mn</t>
  </si>
  <si>
    <t>accounts_receivable_vnd_mn</t>
  </si>
  <si>
    <t>inventory_vnd_mn</t>
  </si>
  <si>
    <t>other_current_assets_vnd_mn</t>
  </si>
  <si>
    <t>total_current_assets_vnd_mn</t>
  </si>
  <si>
    <t>property_plant_equipment_net_vnd_mn</t>
  </si>
  <si>
    <t>intangible_assets_vnd_mn</t>
  </si>
  <si>
    <t>long_term_investments_vnd_mn</t>
  </si>
  <si>
    <t>other_noncurrent_assets_vnd_mn</t>
  </si>
  <si>
    <t>total_assets_vnd_mn</t>
  </si>
  <si>
    <t>short_term_debt_vnd_mn</t>
  </si>
  <si>
    <t>accounts_payable_vnd_mn</t>
  </si>
  <si>
    <t>other_current_liabilities_vnd_mn</t>
  </si>
  <si>
    <t>total_current_liabilities_vnd_mn</t>
  </si>
  <si>
    <t>long_term_debt_vnd_mn</t>
  </si>
  <si>
    <t>other_noncurrent_liabilities_vnd_mn</t>
  </si>
  <si>
    <t>total_liabilities_vnd_mn</t>
  </si>
  <si>
    <t>share_capital_vnd_mn</t>
  </si>
  <si>
    <t>retained_earnings_vnd_mn</t>
  </si>
  <si>
    <t>other_equity_vnd_mn</t>
  </si>
  <si>
    <t>total_equity_vnd_mn</t>
  </si>
  <si>
    <t>total_liabilities_and_equity_vnd_mn</t>
  </si>
  <si>
    <t>cash_effect_change_accounts_receivable_vnd_mn</t>
  </si>
  <si>
    <t>cash_effect_change_inventory_vnd_mn</t>
  </si>
  <si>
    <t>cash_effect_change_other_current_assets_vnd_mn</t>
  </si>
  <si>
    <t>cash_effect_change_accounts_payable_vnd_mn</t>
  </si>
  <si>
    <t>cash_effect_change_other_current_liabilities_vnd_mn</t>
  </si>
  <si>
    <t>cash_effect_change_other_noncurrent_liabilities_vnd_mn</t>
  </si>
  <si>
    <t>net_cash_from_operating_activities_vnd_mn</t>
  </si>
  <si>
    <t>capital_expenditure_vnd_mn</t>
  </si>
  <si>
    <t>change_intangible_assets_vnd_mn</t>
  </si>
  <si>
    <t>change_long_term_investments_vnd_mn</t>
  </si>
  <si>
    <t>change_other_noncurrent_assets_vnd_mn</t>
  </si>
  <si>
    <t>net_cash_from_investing_activities_vnd_mn</t>
  </si>
  <si>
    <t>net_debt_issuance_repayment_vnd_mn</t>
  </si>
  <si>
    <t>equity_issuance_vnd_mn</t>
  </si>
  <si>
    <t>dividends_paid_vnd_mn</t>
  </si>
  <si>
    <t>net_cash_from_financing_activities_vnd_mn</t>
  </si>
  <si>
    <t>net_change_in_cash_vnd_mn</t>
  </si>
  <si>
    <t>beginning_cash_vnd_mn</t>
  </si>
  <si>
    <t>ending_cash_vnd_mn</t>
  </si>
  <si>
    <t>average_customer_credit_terms_days</t>
  </si>
  <si>
    <t>inventory_policy_days_target</t>
  </si>
  <si>
    <t>average_borrowing_rate_pct</t>
  </si>
  <si>
    <t>debt_maturing_within_12m_pct</t>
  </si>
  <si>
    <t>major_customer_concentration_pct</t>
  </si>
  <si>
    <t>export_revenue_pct</t>
  </si>
  <si>
    <t>capex_intensity_pct</t>
  </si>
  <si>
    <t>auditor_opinion_simulated</t>
  </si>
  <si>
    <t>note_text</t>
  </si>
  <si>
    <t>company_name</t>
  </si>
  <si>
    <t>ticker_simulated</t>
  </si>
  <si>
    <t>industry</t>
  </si>
  <si>
    <t>subindustry</t>
  </si>
  <si>
    <t>headquarters</t>
  </si>
  <si>
    <t>founded_year</t>
  </si>
  <si>
    <t>listing_status_simulated</t>
  </si>
  <si>
    <t>fiscal_year_end</t>
  </si>
  <si>
    <t>reporting_currency</t>
  </si>
  <si>
    <t>statement_unit</t>
  </si>
  <si>
    <t>company_size_band</t>
  </si>
  <si>
    <t>data_is_synthetic</t>
  </si>
  <si>
    <t>check_1_assets_eq_liab_equity</t>
  </si>
  <si>
    <t>check_2_cash_reconciliation</t>
  </si>
  <si>
    <t>check_3_ending_cash_eq_bs_cash</t>
  </si>
  <si>
    <t>revenue_growth_pct</t>
  </si>
  <si>
    <t>gross_margin_pct</t>
  </si>
  <si>
    <t>operating_margin_pct</t>
  </si>
  <si>
    <t>net_margin_pct</t>
  </si>
  <si>
    <t>current_ratio</t>
  </si>
  <si>
    <t>quick_ratio</t>
  </si>
  <si>
    <t>debt_to_assets_pct</t>
  </si>
  <si>
    <t>debt_to_equity</t>
  </si>
  <si>
    <t>roa_pct</t>
  </si>
  <si>
    <t>roe_pct</t>
  </si>
  <si>
    <t>cfo_to_net_income</t>
  </si>
  <si>
    <t>free_cash_flow_vnd_mn</t>
  </si>
  <si>
    <t>dso_days</t>
  </si>
  <si>
    <t>inventory_days</t>
  </si>
  <si>
    <t>dpo_days</t>
  </si>
  <si>
    <t>interest_coverage</t>
  </si>
  <si>
    <t>working_capital_vnd_mn</t>
  </si>
  <si>
    <t>C001</t>
  </si>
  <si>
    <t>UNMODIFIED</t>
  </si>
  <si>
    <t>Synthetic operational note; all figures are simulated for competition use.</t>
  </si>
  <si>
    <t>An Phúc Packaged Foods JSC</t>
  </si>
  <si>
    <t>APF</t>
  </si>
  <si>
    <t>Consumer Goods Manufacturing</t>
  </si>
  <si>
    <t>Packaged Food Manufacturing</t>
  </si>
  <si>
    <t>Hanoi</t>
  </si>
  <si>
    <t>LISTED_SIMULATED</t>
  </si>
  <si>
    <t>12-31</t>
  </si>
  <si>
    <t>VND</t>
  </si>
  <si>
    <t>VND_million</t>
  </si>
  <si>
    <t>LARGE</t>
  </si>
  <si>
    <t>C002</t>
  </si>
  <si>
    <t>Bảo Minh Foods Manufacturing JSC</t>
  </si>
  <si>
    <t>BMF</t>
  </si>
  <si>
    <t>Ho Chi Minh City</t>
  </si>
  <si>
    <t>C003</t>
  </si>
  <si>
    <t>Cửu Long Nutrition JSC</t>
  </si>
  <si>
    <t>CLN</t>
  </si>
  <si>
    <t>Can Tho</t>
  </si>
  <si>
    <t>MEDIUM</t>
  </si>
  <si>
    <t>C004</t>
  </si>
  <si>
    <t>Đại Phát Consumer Foods JSC</t>
  </si>
  <si>
    <t>DPF</t>
  </si>
  <si>
    <t>Bac Ninh</t>
  </si>
  <si>
    <t>C005</t>
  </si>
  <si>
    <t>EverViet Food Industries JSC</t>
  </si>
  <si>
    <t>EVF</t>
  </si>
  <si>
    <t>Hai Phong</t>
  </si>
  <si>
    <t>C006</t>
  </si>
  <si>
    <t>Gia Hưng Packaged Foods JSC</t>
  </si>
  <si>
    <t>GHF</t>
  </si>
  <si>
    <t>Hung Yen</t>
  </si>
  <si>
    <t>C007</t>
  </si>
  <si>
    <t>Hòa Bình Food Products JSC</t>
  </si>
  <si>
    <t>HBF</t>
  </si>
  <si>
    <t>C008</t>
  </si>
  <si>
    <t>Lotus Nutrition Industries JSC</t>
  </si>
  <si>
    <t>LNI</t>
  </si>
  <si>
    <t>C009</t>
  </si>
  <si>
    <t>Minh An Consumer Foods JSC</t>
  </si>
  <si>
    <t>MAC</t>
  </si>
  <si>
    <t>Da Nang</t>
  </si>
  <si>
    <t>C010</t>
  </si>
  <si>
    <t>NovaViet Packaged Foods JSC</t>
  </si>
  <si>
    <t>NVF</t>
  </si>
  <si>
    <t>C011</t>
  </si>
  <si>
    <t>Phú An Nutrition JSC</t>
  </si>
  <si>
    <t>PAN</t>
  </si>
  <si>
    <t>Thanh Hoa</t>
  </si>
  <si>
    <t>C012</t>
  </si>
  <si>
    <t>Thành Đạt Food Industries JSC</t>
  </si>
  <si>
    <t>TDF</t>
  </si>
  <si>
    <t>Nghe 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</si>
</sst>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(#,##0\);\-"/>
    <numFmt numFmtId="179" formatCode="0.0"/>
  </numFmts>
  <fonts count="27">
    <font>
      <sz val="11"/>
      <color theme="1"/>
      <name val="Calibri"/>
      <charset val="134"/>
    </font>
    <font>
      <b/>
      <sz val="14"/>
      <color rgb="FF1F4E78"/>
      <name val="Calibri"/>
      <charset val="134"/>
    </font>
    <font>
      <i/>
      <sz val="11"/>
      <color rgb="FF595959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Arial"/>
      <charset val="1"/>
    </font>
    <font>
      <sz val="10"/>
      <name val="Calibri"/>
      <charset val="134"/>
    </font>
    <font>
      <sz val="1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1F3864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2" fontId="6" fillId="0" borderId="0" xfId="0" applyNumberFormat="1" applyFont="1" applyAlignment="1"/>
    <xf numFmtId="178" fontId="6" fillId="0" borderId="0" xfId="0" applyNumberFormat="1" applyFont="1" applyAlignment="1"/>
    <xf numFmtId="179" fontId="6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S64"/>
  <sheetViews>
    <sheetView tabSelected="1" topLeftCell="CB1" workbookViewId="0">
      <selection activeCell="CE13" sqref="CE13"/>
    </sheetView>
  </sheetViews>
  <sheetFormatPr defaultColWidth="8.85185185185185" defaultRowHeight="14.4"/>
  <cols>
    <col min="1" max="1" width="13" style="1" customWidth="1"/>
    <col min="2" max="2" width="14" style="1" customWidth="1"/>
    <col min="3" max="3" width="17" style="1" customWidth="1"/>
    <col min="4" max="4" width="28" style="1" customWidth="1"/>
    <col min="5" max="5" width="22" style="1" customWidth="1"/>
    <col min="6" max="6" width="25" style="1" customWidth="1"/>
    <col min="7" max="7" width="32" style="1" customWidth="1"/>
    <col min="8" max="8" width="37" style="1" customWidth="1"/>
    <col min="9" max="9" width="26" style="1" customWidth="1"/>
    <col min="10" max="10" width="24" style="1" customWidth="1"/>
    <col min="11" max="11" width="26" style="1" customWidth="1"/>
    <col min="12" max="12" width="22" style="1" customWidth="1"/>
    <col min="13" max="13" width="27" style="1" customWidth="1"/>
    <col min="14" max="14" width="28" style="1" customWidth="1"/>
    <col min="15" max="15" width="22" style="1" customWidth="1"/>
    <col min="16" max="16" width="35" style="1" customWidth="1"/>
    <col min="17" max="17" width="29" style="1" customWidth="1"/>
    <col min="18" max="18" width="19" style="1" customWidth="1"/>
    <col min="19" max="20" width="30" style="1" customWidth="1"/>
    <col min="21" max="21" width="38" style="1" customWidth="1"/>
    <col min="22" max="22" width="27" style="1" customWidth="1"/>
    <col min="23" max="23" width="31" style="1" customWidth="1"/>
    <col min="24" max="24" width="33" style="1" customWidth="1"/>
    <col min="25" max="25" width="22" style="1" customWidth="1"/>
    <col min="26" max="26" width="25" style="1" customWidth="1"/>
    <col min="27" max="27" width="26" style="1" customWidth="1"/>
    <col min="28" max="29" width="35" style="1" customWidth="1"/>
    <col min="30" max="30" width="24" style="1" customWidth="1"/>
    <col min="31" max="31" width="38" style="1" customWidth="1"/>
    <col min="32" max="32" width="27" style="1" customWidth="1"/>
    <col min="33" max="33" width="23" style="1" customWidth="1"/>
    <col min="34" max="34" width="27" style="1" customWidth="1"/>
    <col min="35" max="36" width="22" style="1" customWidth="1"/>
    <col min="37" max="37" width="38" style="1" customWidth="1"/>
    <col min="38" max="38" width="40" style="1" customWidth="1"/>
    <col min="39" max="39" width="38" style="1" customWidth="1"/>
    <col min="40" max="44" width="40" style="1" customWidth="1"/>
    <col min="45" max="45" width="29" style="1" customWidth="1"/>
    <col min="46" max="46" width="34" style="1" customWidth="1"/>
    <col min="47" max="47" width="38" style="1" customWidth="1"/>
    <col min="48" max="49" width="40" style="1" customWidth="1"/>
    <col min="50" max="50" width="37" style="1" customWidth="1"/>
    <col min="51" max="51" width="25" style="1" customWidth="1"/>
    <col min="52" max="52" width="24" style="1" customWidth="1"/>
    <col min="53" max="53" width="40" style="1" customWidth="1"/>
    <col min="54" max="54" width="28" style="1" customWidth="1"/>
    <col min="55" max="55" width="24" style="1" customWidth="1"/>
    <col min="56" max="56" width="21" style="1" customWidth="1"/>
    <col min="57" max="57" width="37" style="1" customWidth="1"/>
    <col min="58" max="58" width="31" style="1" customWidth="1"/>
    <col min="59" max="59" width="29" style="1" customWidth="1"/>
    <col min="60" max="60" width="31" style="1" customWidth="1"/>
    <col min="61" max="61" width="35" style="1" customWidth="1"/>
    <col min="62" max="62" width="21" style="1" customWidth="1"/>
    <col min="63" max="63" width="22" style="1" customWidth="1"/>
    <col min="64" max="64" width="28" style="1" customWidth="1"/>
    <col min="65" max="65" width="40" style="1" customWidth="1"/>
    <col min="66" max="66" width="35" style="1" customWidth="1"/>
    <col min="67" max="67" width="19" style="1" customWidth="1"/>
    <col min="68" max="68" width="31" style="1" customWidth="1"/>
    <col min="69" max="69" width="30" style="1" customWidth="1"/>
    <col min="70" max="70" width="19" style="1" customWidth="1"/>
    <col min="71" max="71" width="15" style="1" customWidth="1"/>
    <col min="72" max="72" width="27" style="1" customWidth="1"/>
    <col min="73" max="73" width="18" style="1" customWidth="1"/>
    <col min="74" max="74" width="21" style="1" customWidth="1"/>
    <col min="75" max="75" width="17" style="1" customWidth="1"/>
    <col min="76" max="77" width="20" style="1" customWidth="1"/>
    <col min="78" max="78" width="32" style="1" customWidth="1"/>
    <col min="79" max="79" width="30" style="1" customWidth="1"/>
    <col min="80" max="80" width="33" style="1" customWidth="1"/>
    <col min="81" max="97" width="18" style="1" customWidth="1"/>
  </cols>
  <sheetData>
    <row r="1" ht="18.75" customHeight="1" spans="1:97">
      <c r="A1" s="2" t="s">
        <v>0</v>
      </c>
    </row>
    <row r="2" spans="1:97">
      <c r="A2" s="3" t="s">
        <v>1</v>
      </c>
    </row>
    <row r="4" ht="30" customHeight="1" spans="1:9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5" t="s">
        <v>82</v>
      </c>
      <c r="CD4" s="5" t="s">
        <v>83</v>
      </c>
      <c r="CE4" s="5" t="s">
        <v>84</v>
      </c>
      <c r="CF4" s="5" t="s">
        <v>85</v>
      </c>
      <c r="CG4" s="5" t="s">
        <v>86</v>
      </c>
      <c r="CH4" s="5" t="s">
        <v>87</v>
      </c>
      <c r="CI4" s="5" t="s">
        <v>88</v>
      </c>
      <c r="CJ4" s="5" t="s">
        <v>89</v>
      </c>
      <c r="CK4" s="5" t="s">
        <v>90</v>
      </c>
      <c r="CL4" s="5" t="s">
        <v>91</v>
      </c>
      <c r="CM4" s="5" t="s">
        <v>92</v>
      </c>
      <c r="CN4" s="5" t="s">
        <v>93</v>
      </c>
      <c r="CO4" s="5" t="s">
        <v>94</v>
      </c>
      <c r="CP4" s="5" t="s">
        <v>95</v>
      </c>
      <c r="CQ4" s="5" t="s">
        <v>96</v>
      </c>
      <c r="CR4" s="5" t="s">
        <v>97</v>
      </c>
      <c r="CS4" s="5" t="s">
        <v>98</v>
      </c>
    </row>
    <row r="5" spans="1:97">
      <c r="A5" s="6" t="s">
        <v>99</v>
      </c>
      <c r="B5" s="7">
        <v>2021</v>
      </c>
      <c r="C5" s="7">
        <v>1450280</v>
      </c>
      <c r="D5" s="7">
        <v>1003296</v>
      </c>
      <c r="E5" s="7">
        <v>446984</v>
      </c>
      <c r="F5" s="7">
        <v>109993</v>
      </c>
      <c r="G5" s="7">
        <v>81031</v>
      </c>
      <c r="H5" s="7">
        <v>44965</v>
      </c>
      <c r="I5" s="7">
        <v>210995</v>
      </c>
      <c r="J5" s="7">
        <v>4894</v>
      </c>
      <c r="K5" s="7">
        <v>18705</v>
      </c>
      <c r="L5" s="7">
        <v>-780</v>
      </c>
      <c r="M5" s="7">
        <v>196404</v>
      </c>
      <c r="N5" s="7">
        <v>39281</v>
      </c>
      <c r="O5" s="7">
        <v>157123</v>
      </c>
      <c r="P5" s="7">
        <v>360320</v>
      </c>
      <c r="Q5" s="7">
        <v>182775</v>
      </c>
      <c r="R5" s="7">
        <v>214403</v>
      </c>
      <c r="S5" s="7">
        <v>67184</v>
      </c>
      <c r="T5" s="7">
        <v>824682</v>
      </c>
      <c r="U5" s="7">
        <v>601800</v>
      </c>
      <c r="V5" s="7">
        <v>26325</v>
      </c>
      <c r="W5" s="7">
        <v>36842</v>
      </c>
      <c r="X5" s="7">
        <v>24738</v>
      </c>
      <c r="Y5" s="7">
        <v>1514387</v>
      </c>
      <c r="Z5" s="7">
        <v>101520</v>
      </c>
      <c r="AA5" s="7">
        <v>151182</v>
      </c>
      <c r="AB5" s="7">
        <v>102169</v>
      </c>
      <c r="AC5" s="7">
        <v>354871</v>
      </c>
      <c r="AD5" s="7">
        <v>188536</v>
      </c>
      <c r="AE5" s="7">
        <v>36388</v>
      </c>
      <c r="AF5" s="7">
        <v>579795</v>
      </c>
      <c r="AG5" s="7">
        <v>486000</v>
      </c>
      <c r="AH5" s="7">
        <v>401342</v>
      </c>
      <c r="AI5" s="7">
        <v>47250</v>
      </c>
      <c r="AJ5" s="7">
        <v>934592</v>
      </c>
      <c r="AK5" s="7">
        <v>1514387</v>
      </c>
      <c r="AL5" s="7">
        <v>-23734</v>
      </c>
      <c r="AM5" s="7">
        <v>-28103</v>
      </c>
      <c r="AN5" s="7">
        <v>316</v>
      </c>
      <c r="AO5" s="7">
        <v>15923</v>
      </c>
      <c r="AP5" s="7">
        <v>919</v>
      </c>
      <c r="AQ5" s="7">
        <v>-1412</v>
      </c>
      <c r="AR5" s="7">
        <v>165997</v>
      </c>
      <c r="AS5" s="7">
        <v>-79765</v>
      </c>
      <c r="AT5" s="7">
        <v>-2025</v>
      </c>
      <c r="AU5" s="7">
        <v>-3092</v>
      </c>
      <c r="AV5" s="7">
        <v>-438</v>
      </c>
      <c r="AW5" s="7">
        <v>-85320</v>
      </c>
      <c r="AX5" s="7">
        <v>47056</v>
      </c>
      <c r="AY5" s="7">
        <v>0</v>
      </c>
      <c r="AZ5" s="7">
        <v>-39281</v>
      </c>
      <c r="BA5" s="7">
        <v>7775</v>
      </c>
      <c r="BB5" s="7">
        <v>88452</v>
      </c>
      <c r="BC5" s="7">
        <v>271868</v>
      </c>
      <c r="BD5" s="7">
        <v>360320</v>
      </c>
      <c r="BE5" s="7">
        <v>41</v>
      </c>
      <c r="BF5" s="7">
        <v>65</v>
      </c>
      <c r="BG5" s="8">
        <v>7.02</v>
      </c>
      <c r="BH5" s="8">
        <v>35</v>
      </c>
      <c r="BI5" s="7">
        <v>18</v>
      </c>
      <c r="BJ5" s="7">
        <v>28</v>
      </c>
      <c r="BK5" s="8">
        <v>5.5</v>
      </c>
      <c r="BL5" s="6" t="s">
        <v>100</v>
      </c>
      <c r="BM5" s="6" t="s">
        <v>101</v>
      </c>
      <c r="BN5" s="6" t="s">
        <v>102</v>
      </c>
      <c r="BO5" s="6" t="s">
        <v>103</v>
      </c>
      <c r="BP5" s="6" t="s">
        <v>104</v>
      </c>
      <c r="BQ5" s="6" t="s">
        <v>105</v>
      </c>
      <c r="BR5" s="6" t="s">
        <v>106</v>
      </c>
      <c r="BS5" s="7">
        <v>1998</v>
      </c>
      <c r="BT5" s="6" t="s">
        <v>107</v>
      </c>
      <c r="BU5" s="6" t="s">
        <v>108</v>
      </c>
      <c r="BV5" s="6" t="s">
        <v>109</v>
      </c>
      <c r="BW5" s="6" t="s">
        <v>110</v>
      </c>
      <c r="BX5" s="6" t="s">
        <v>111</v>
      </c>
      <c r="BY5" s="7" t="b">
        <f>TRUE</f>
        <v>1</v>
      </c>
      <c r="BZ5" s="7" t="b">
        <f t="shared" ref="BZ5:BZ64" si="0">TRUE()</f>
        <v>1</v>
      </c>
      <c r="CA5" s="7" t="b">
        <f t="shared" ref="CA5:CA64" si="1">TRUE()</f>
        <v>1</v>
      </c>
      <c r="CB5" s="7" t="b">
        <f t="shared" ref="CB5:CB64" si="2">TRUE()</f>
        <v>1</v>
      </c>
      <c r="CC5" s="9" t="str">
        <f t="shared" ref="CC5:CC36" si="3">IF($A5=$A4,(C5-C4)/C4*100,"")</f>
        <v/>
      </c>
      <c r="CD5" s="9">
        <f t="shared" ref="CD5:CD36" si="4">E5/C5*100</f>
        <v>30.8205312077668</v>
      </c>
      <c r="CE5" s="9">
        <f t="shared" ref="CE5:CE36" si="5">I5/C5*100</f>
        <v>14.5485699313236</v>
      </c>
      <c r="CF5" s="9">
        <f t="shared" ref="CF5:CF36" si="6">O5/C5*100</f>
        <v>10.8339768872218</v>
      </c>
      <c r="CG5" s="9">
        <f t="shared" ref="CG5:CG36" si="7">T5/AC5</f>
        <v>2.32389234397852</v>
      </c>
      <c r="CH5" s="9">
        <f t="shared" ref="CH5:CH36" si="8">(P5+Q5)/AC5</f>
        <v>1.53040118803734</v>
      </c>
      <c r="CI5" s="9">
        <f t="shared" ref="CI5:CI36" si="9">(Z5+AD5)/Y5*100</f>
        <v>19.1533604025919</v>
      </c>
      <c r="CJ5" s="9">
        <f t="shared" ref="CJ5:CJ36" si="10">(Z5+AD5)/AJ5</f>
        <v>0.310355748818736</v>
      </c>
      <c r="CK5" s="9" t="str">
        <f t="shared" ref="CK5:CK36" si="11">IF($A5=$A4,O5/AVERAGE(Y5,Y4)*100,"")</f>
        <v/>
      </c>
      <c r="CL5" s="9" t="str">
        <f t="shared" ref="CL5:CL36" si="12">IF($A5=$A4,O5/AVERAGE(AJ5,AJ4)*100,"")</f>
        <v/>
      </c>
      <c r="CM5" s="9">
        <f t="shared" ref="CM5:CM36" si="13">IF(O5=0,"",AR5/O5)</f>
        <v>1.05647804586216</v>
      </c>
      <c r="CN5" s="10">
        <f t="shared" ref="CN5:CN36" si="14">AR5+AS5</f>
        <v>86232</v>
      </c>
      <c r="CO5" s="11" t="str">
        <f t="shared" ref="CO5:CO36" si="15">IF($A5=$A4,AVERAGE(Q5,Q4)/C5*365,"")</f>
        <v/>
      </c>
      <c r="CP5" s="11" t="str">
        <f t="shared" ref="CP5:CP36" si="16">IF($A5=$A4,AVERAGE(R5,R4)/D5*365,"")</f>
        <v/>
      </c>
      <c r="CQ5" s="11" t="str">
        <f t="shared" ref="CQ5:CQ36" si="17">IF($A5=$A4,AVERAGE(AA5,AA4)/D5*365,"")</f>
        <v/>
      </c>
      <c r="CR5" s="9">
        <f t="shared" ref="CR5:CR36" si="18">I5/K5</f>
        <v>11.2801390002673</v>
      </c>
      <c r="CS5" s="10">
        <f t="shared" ref="CS5:CS36" si="19">T5-AC5</f>
        <v>469811</v>
      </c>
    </row>
    <row r="6" spans="1:97">
      <c r="A6" s="6" t="s">
        <v>99</v>
      </c>
      <c r="B6" s="7">
        <v>2022</v>
      </c>
      <c r="C6" s="7">
        <v>1573222</v>
      </c>
      <c r="D6" s="7">
        <v>1086049</v>
      </c>
      <c r="E6" s="7">
        <v>487173</v>
      </c>
      <c r="F6" s="7">
        <v>118410</v>
      </c>
      <c r="G6" s="7">
        <v>88143</v>
      </c>
      <c r="H6" s="7">
        <v>49106</v>
      </c>
      <c r="I6" s="7">
        <v>231514</v>
      </c>
      <c r="J6" s="7">
        <v>6486</v>
      </c>
      <c r="K6" s="7">
        <v>21270</v>
      </c>
      <c r="L6" s="7">
        <v>3937</v>
      </c>
      <c r="M6" s="7">
        <v>220667</v>
      </c>
      <c r="N6" s="7">
        <v>44133</v>
      </c>
      <c r="O6" s="7">
        <v>176534</v>
      </c>
      <c r="P6" s="7">
        <v>465057</v>
      </c>
      <c r="Q6" s="7">
        <v>193959</v>
      </c>
      <c r="R6" s="7">
        <v>229112</v>
      </c>
      <c r="S6" s="7">
        <v>75527</v>
      </c>
      <c r="T6" s="7">
        <v>963655</v>
      </c>
      <c r="U6" s="7">
        <v>639221</v>
      </c>
      <c r="V6" s="7">
        <v>29594</v>
      </c>
      <c r="W6" s="7">
        <v>37664</v>
      </c>
      <c r="X6" s="7">
        <v>29834</v>
      </c>
      <c r="Y6" s="7">
        <v>1699968</v>
      </c>
      <c r="Z6" s="7">
        <v>107372</v>
      </c>
      <c r="AA6" s="7">
        <v>166627</v>
      </c>
      <c r="AB6" s="7">
        <v>121207</v>
      </c>
      <c r="AC6" s="7">
        <v>395206</v>
      </c>
      <c r="AD6" s="7">
        <v>199406</v>
      </c>
      <c r="AE6" s="7">
        <v>38364</v>
      </c>
      <c r="AF6" s="7">
        <v>632976</v>
      </c>
      <c r="AG6" s="7">
        <v>486000</v>
      </c>
      <c r="AH6" s="7">
        <v>533742</v>
      </c>
      <c r="AI6" s="7">
        <v>47250</v>
      </c>
      <c r="AJ6" s="7">
        <v>1066992</v>
      </c>
      <c r="AK6" s="7">
        <v>1699968</v>
      </c>
      <c r="AL6" s="7">
        <v>-11184</v>
      </c>
      <c r="AM6" s="7">
        <v>-14709</v>
      </c>
      <c r="AN6" s="7">
        <v>-8343</v>
      </c>
      <c r="AO6" s="7">
        <v>15445</v>
      </c>
      <c r="AP6" s="7">
        <v>19038</v>
      </c>
      <c r="AQ6" s="7">
        <v>1976</v>
      </c>
      <c r="AR6" s="7">
        <v>227863</v>
      </c>
      <c r="AS6" s="7">
        <v>-86527</v>
      </c>
      <c r="AT6" s="7">
        <v>-3269</v>
      </c>
      <c r="AU6" s="7">
        <v>-822</v>
      </c>
      <c r="AV6" s="7">
        <v>-5096</v>
      </c>
      <c r="AW6" s="7">
        <v>-95714</v>
      </c>
      <c r="AX6" s="7">
        <v>16722</v>
      </c>
      <c r="AY6" s="7">
        <v>0</v>
      </c>
      <c r="AZ6" s="7">
        <v>-44134</v>
      </c>
      <c r="BA6" s="7">
        <v>-27412</v>
      </c>
      <c r="BB6" s="7">
        <v>104737</v>
      </c>
      <c r="BC6" s="7">
        <v>360320</v>
      </c>
      <c r="BD6" s="7">
        <v>465057</v>
      </c>
      <c r="BE6" s="7">
        <v>35</v>
      </c>
      <c r="BF6" s="7">
        <v>66</v>
      </c>
      <c r="BG6" s="8">
        <v>7.13</v>
      </c>
      <c r="BH6" s="8">
        <v>35</v>
      </c>
      <c r="BI6" s="7">
        <v>18</v>
      </c>
      <c r="BJ6" s="7">
        <v>22</v>
      </c>
      <c r="BK6" s="8">
        <v>5.5</v>
      </c>
      <c r="BL6" s="6" t="s">
        <v>100</v>
      </c>
      <c r="BM6" s="6" t="s">
        <v>101</v>
      </c>
      <c r="BN6" s="6" t="s">
        <v>102</v>
      </c>
      <c r="BO6" s="6" t="s">
        <v>103</v>
      </c>
      <c r="BP6" s="6" t="s">
        <v>104</v>
      </c>
      <c r="BQ6" s="6" t="s">
        <v>105</v>
      </c>
      <c r="BR6" s="6" t="s">
        <v>106</v>
      </c>
      <c r="BS6" s="7">
        <v>1998</v>
      </c>
      <c r="BT6" s="6" t="s">
        <v>107</v>
      </c>
      <c r="BU6" s="6" t="s">
        <v>108</v>
      </c>
      <c r="BV6" s="6" t="s">
        <v>109</v>
      </c>
      <c r="BW6" s="6" t="s">
        <v>110</v>
      </c>
      <c r="BX6" s="6" t="s">
        <v>111</v>
      </c>
      <c r="BY6" s="7" t="b">
        <f t="shared" ref="BY6:BY64" si="20">TRUE()</f>
        <v>1</v>
      </c>
      <c r="BZ6" s="7" t="b">
        <f t="shared" si="0"/>
        <v>1</v>
      </c>
      <c r="CA6" s="7" t="b">
        <f t="shared" si="1"/>
        <v>1</v>
      </c>
      <c r="CB6" s="7" t="b">
        <f t="shared" si="2"/>
        <v>1</v>
      </c>
      <c r="CC6" s="9">
        <f t="shared" si="3"/>
        <v>8.4771216592658</v>
      </c>
      <c r="CD6" s="9">
        <f t="shared" si="4"/>
        <v>30.966576872177</v>
      </c>
      <c r="CE6" s="9">
        <f t="shared" si="5"/>
        <v>14.7159142193537</v>
      </c>
      <c r="CF6" s="9">
        <f t="shared" si="6"/>
        <v>11.2211753967336</v>
      </c>
      <c r="CG6" s="9">
        <f t="shared" si="7"/>
        <v>2.43836125969747</v>
      </c>
      <c r="CH6" s="9">
        <f t="shared" si="8"/>
        <v>1.66752529060794</v>
      </c>
      <c r="CI6" s="9">
        <f t="shared" si="9"/>
        <v>18.0461043972592</v>
      </c>
      <c r="CJ6" s="9">
        <f t="shared" si="10"/>
        <v>0.287516682411864</v>
      </c>
      <c r="CK6" s="9">
        <f t="shared" si="11"/>
        <v>10.9841010093782</v>
      </c>
      <c r="CL6" s="9">
        <f t="shared" si="12"/>
        <v>17.6394295717792</v>
      </c>
      <c r="CM6" s="9">
        <f t="shared" si="13"/>
        <v>1.29075985362593</v>
      </c>
      <c r="CN6" s="10">
        <f t="shared" si="14"/>
        <v>141336</v>
      </c>
      <c r="CO6" s="11">
        <f t="shared" si="15"/>
        <v>43.7026401868268</v>
      </c>
      <c r="CP6" s="11">
        <f t="shared" si="16"/>
        <v>74.5283937465068</v>
      </c>
      <c r="CQ6" s="11">
        <f t="shared" si="17"/>
        <v>53.4047197686292</v>
      </c>
      <c r="CR6" s="9">
        <f t="shared" si="18"/>
        <v>10.8845322049835</v>
      </c>
      <c r="CS6" s="10">
        <f t="shared" si="19"/>
        <v>568449</v>
      </c>
    </row>
    <row r="7" spans="1:97">
      <c r="A7" s="6" t="s">
        <v>99</v>
      </c>
      <c r="B7" s="7">
        <v>2023</v>
      </c>
      <c r="C7" s="7">
        <v>1691328</v>
      </c>
      <c r="D7" s="7">
        <v>1159560</v>
      </c>
      <c r="E7" s="7">
        <v>531768</v>
      </c>
      <c r="F7" s="7">
        <v>124476</v>
      </c>
      <c r="G7" s="7">
        <v>93217</v>
      </c>
      <c r="H7" s="7">
        <v>53151</v>
      </c>
      <c r="I7" s="7">
        <v>260924</v>
      </c>
      <c r="J7" s="7">
        <v>8371</v>
      </c>
      <c r="K7" s="7">
        <v>21862</v>
      </c>
      <c r="L7" s="7">
        <v>-1033</v>
      </c>
      <c r="M7" s="7">
        <v>246400</v>
      </c>
      <c r="N7" s="7">
        <v>49280</v>
      </c>
      <c r="O7" s="7">
        <v>197120</v>
      </c>
      <c r="P7" s="7">
        <v>576733</v>
      </c>
      <c r="Q7" s="7">
        <v>213154</v>
      </c>
      <c r="R7" s="7">
        <v>241443</v>
      </c>
      <c r="S7" s="7">
        <v>76697</v>
      </c>
      <c r="T7" s="7">
        <v>1108027</v>
      </c>
      <c r="U7" s="7">
        <v>674019</v>
      </c>
      <c r="V7" s="7">
        <v>29525</v>
      </c>
      <c r="W7" s="7">
        <v>43889</v>
      </c>
      <c r="X7" s="7">
        <v>30310</v>
      </c>
      <c r="Y7" s="7">
        <v>1885770</v>
      </c>
      <c r="Z7" s="7">
        <v>112473</v>
      </c>
      <c r="AA7" s="7">
        <v>177905</v>
      </c>
      <c r="AB7" s="7">
        <v>127979</v>
      </c>
      <c r="AC7" s="7">
        <v>418357</v>
      </c>
      <c r="AD7" s="7">
        <v>208879</v>
      </c>
      <c r="AE7" s="7">
        <v>43702</v>
      </c>
      <c r="AF7" s="7">
        <v>670938</v>
      </c>
      <c r="AG7" s="7">
        <v>486000</v>
      </c>
      <c r="AH7" s="7">
        <v>681582</v>
      </c>
      <c r="AI7" s="7">
        <v>47250</v>
      </c>
      <c r="AJ7" s="7">
        <v>1214832</v>
      </c>
      <c r="AK7" s="7">
        <v>1885770</v>
      </c>
      <c r="AL7" s="7">
        <v>-19195</v>
      </c>
      <c r="AM7" s="7">
        <v>-12331</v>
      </c>
      <c r="AN7" s="7">
        <v>-1170</v>
      </c>
      <c r="AO7" s="7">
        <v>11278</v>
      </c>
      <c r="AP7" s="7">
        <v>6772</v>
      </c>
      <c r="AQ7" s="7">
        <v>5338</v>
      </c>
      <c r="AR7" s="7">
        <v>240963</v>
      </c>
      <c r="AS7" s="7">
        <v>-87949</v>
      </c>
      <c r="AT7" s="7">
        <v>69</v>
      </c>
      <c r="AU7" s="7">
        <v>-6225</v>
      </c>
      <c r="AV7" s="7">
        <v>-476</v>
      </c>
      <c r="AW7" s="7">
        <v>-94581</v>
      </c>
      <c r="AX7" s="7">
        <v>14574</v>
      </c>
      <c r="AY7" s="7">
        <v>0</v>
      </c>
      <c r="AZ7" s="7">
        <v>-49280</v>
      </c>
      <c r="BA7" s="7">
        <v>-34706</v>
      </c>
      <c r="BB7" s="7">
        <v>111676</v>
      </c>
      <c r="BC7" s="7">
        <v>465057</v>
      </c>
      <c r="BD7" s="7">
        <v>576733</v>
      </c>
      <c r="BE7" s="7">
        <v>39</v>
      </c>
      <c r="BF7" s="7">
        <v>69</v>
      </c>
      <c r="BG7" s="8">
        <v>6.96</v>
      </c>
      <c r="BH7" s="8">
        <v>35</v>
      </c>
      <c r="BI7" s="7">
        <v>18</v>
      </c>
      <c r="BJ7" s="7">
        <v>27</v>
      </c>
      <c r="BK7" s="8">
        <v>5.2</v>
      </c>
      <c r="BL7" s="6" t="s">
        <v>100</v>
      </c>
      <c r="BM7" s="6" t="s">
        <v>101</v>
      </c>
      <c r="BN7" s="6" t="s">
        <v>102</v>
      </c>
      <c r="BO7" s="6" t="s">
        <v>103</v>
      </c>
      <c r="BP7" s="6" t="s">
        <v>104</v>
      </c>
      <c r="BQ7" s="6" t="s">
        <v>105</v>
      </c>
      <c r="BR7" s="6" t="s">
        <v>106</v>
      </c>
      <c r="BS7" s="7">
        <v>1998</v>
      </c>
      <c r="BT7" s="6" t="s">
        <v>107</v>
      </c>
      <c r="BU7" s="6" t="s">
        <v>108</v>
      </c>
      <c r="BV7" s="6" t="s">
        <v>109</v>
      </c>
      <c r="BW7" s="6" t="s">
        <v>110</v>
      </c>
      <c r="BX7" s="6" t="s">
        <v>111</v>
      </c>
      <c r="BY7" s="7" t="b">
        <f t="shared" si="20"/>
        <v>1</v>
      </c>
      <c r="BZ7" s="7" t="b">
        <f t="shared" si="0"/>
        <v>1</v>
      </c>
      <c r="CA7" s="7" t="b">
        <f t="shared" si="1"/>
        <v>1</v>
      </c>
      <c r="CB7" s="7" t="b">
        <f t="shared" si="2"/>
        <v>1</v>
      </c>
      <c r="CC7" s="9">
        <f t="shared" si="3"/>
        <v>7.50726852281496</v>
      </c>
      <c r="CD7" s="9">
        <f t="shared" si="4"/>
        <v>31.4408559427858</v>
      </c>
      <c r="CE7" s="9">
        <f t="shared" si="5"/>
        <v>15.4271672910281</v>
      </c>
      <c r="CF7" s="9">
        <f t="shared" si="6"/>
        <v>11.6547470390131</v>
      </c>
      <c r="CG7" s="9">
        <f t="shared" si="7"/>
        <v>2.64852028291627</v>
      </c>
      <c r="CH7" s="9">
        <f t="shared" si="8"/>
        <v>1.88806928054269</v>
      </c>
      <c r="CI7" s="9">
        <f t="shared" si="9"/>
        <v>17.0408904585395</v>
      </c>
      <c r="CJ7" s="9">
        <f t="shared" si="10"/>
        <v>0.264523818931342</v>
      </c>
      <c r="CK7" s="9">
        <f t="shared" si="11"/>
        <v>10.9946683221139</v>
      </c>
      <c r="CL7" s="9">
        <f t="shared" si="12"/>
        <v>17.2774061452592</v>
      </c>
      <c r="CM7" s="9">
        <f t="shared" si="13"/>
        <v>1.22241781655844</v>
      </c>
      <c r="CN7" s="10">
        <f t="shared" si="14"/>
        <v>153014</v>
      </c>
      <c r="CO7" s="11">
        <f t="shared" si="15"/>
        <v>43.9288668430961</v>
      </c>
      <c r="CP7" s="11">
        <f t="shared" si="16"/>
        <v>74.0593738142054</v>
      </c>
      <c r="CQ7" s="11">
        <f t="shared" si="17"/>
        <v>54.2249560177999</v>
      </c>
      <c r="CR7" s="9">
        <f t="shared" si="18"/>
        <v>11.9350471137133</v>
      </c>
      <c r="CS7" s="10">
        <f t="shared" si="19"/>
        <v>689670</v>
      </c>
    </row>
    <row r="8" spans="1:97">
      <c r="A8" s="6" t="s">
        <v>99</v>
      </c>
      <c r="B8" s="7">
        <v>2024</v>
      </c>
      <c r="C8" s="7">
        <v>1797857</v>
      </c>
      <c r="D8" s="7">
        <v>1230301</v>
      </c>
      <c r="E8" s="7">
        <v>567556</v>
      </c>
      <c r="F8" s="7">
        <v>135228</v>
      </c>
      <c r="G8" s="7">
        <v>100289</v>
      </c>
      <c r="H8" s="7">
        <v>54646</v>
      </c>
      <c r="I8" s="7">
        <v>277393</v>
      </c>
      <c r="J8" s="7">
        <v>10381</v>
      </c>
      <c r="K8" s="7">
        <v>22869</v>
      </c>
      <c r="L8" s="7">
        <v>-836</v>
      </c>
      <c r="M8" s="7">
        <v>264069</v>
      </c>
      <c r="N8" s="7">
        <v>52814</v>
      </c>
      <c r="O8" s="7">
        <v>211255</v>
      </c>
      <c r="P8" s="7">
        <v>691920</v>
      </c>
      <c r="Q8" s="7">
        <v>221654</v>
      </c>
      <c r="R8" s="7">
        <v>256172</v>
      </c>
      <c r="S8" s="7">
        <v>82177</v>
      </c>
      <c r="T8" s="7">
        <v>1251923</v>
      </c>
      <c r="U8" s="7">
        <v>712862</v>
      </c>
      <c r="V8" s="7">
        <v>33780</v>
      </c>
      <c r="W8" s="7">
        <v>42244</v>
      </c>
      <c r="X8" s="7">
        <v>33459</v>
      </c>
      <c r="Y8" s="7">
        <v>2074268</v>
      </c>
      <c r="Z8" s="7">
        <v>116411</v>
      </c>
      <c r="AA8" s="7">
        <v>192129</v>
      </c>
      <c r="AB8" s="7">
        <v>131669</v>
      </c>
      <c r="AC8" s="7">
        <v>440209</v>
      </c>
      <c r="AD8" s="7">
        <v>216193</v>
      </c>
      <c r="AE8" s="7">
        <v>44593</v>
      </c>
      <c r="AF8" s="7">
        <v>700995</v>
      </c>
      <c r="AG8" s="7">
        <v>486000</v>
      </c>
      <c r="AH8" s="7">
        <v>840023</v>
      </c>
      <c r="AI8" s="7">
        <v>47250</v>
      </c>
      <c r="AJ8" s="7">
        <v>1373273</v>
      </c>
      <c r="AK8" s="7">
        <v>2074268</v>
      </c>
      <c r="AL8" s="7">
        <v>-8500</v>
      </c>
      <c r="AM8" s="7">
        <v>-14729</v>
      </c>
      <c r="AN8" s="7">
        <v>-5480</v>
      </c>
      <c r="AO8" s="7">
        <v>14224</v>
      </c>
      <c r="AP8" s="7">
        <v>3690</v>
      </c>
      <c r="AQ8" s="7">
        <v>891</v>
      </c>
      <c r="AR8" s="7">
        <v>255997</v>
      </c>
      <c r="AS8" s="7">
        <v>-93489</v>
      </c>
      <c r="AT8" s="7">
        <v>-4255</v>
      </c>
      <c r="AU8" s="7">
        <v>1645</v>
      </c>
      <c r="AV8" s="7">
        <v>-3149</v>
      </c>
      <c r="AW8" s="7">
        <v>-99248</v>
      </c>
      <c r="AX8" s="7">
        <v>11252</v>
      </c>
      <c r="AY8" s="7">
        <v>0</v>
      </c>
      <c r="AZ8" s="7">
        <v>-52814</v>
      </c>
      <c r="BA8" s="7">
        <v>-41562</v>
      </c>
      <c r="BB8" s="7">
        <v>115187</v>
      </c>
      <c r="BC8" s="7">
        <v>576733</v>
      </c>
      <c r="BD8" s="7">
        <v>691920</v>
      </c>
      <c r="BE8" s="7">
        <v>37</v>
      </c>
      <c r="BF8" s="7">
        <v>65</v>
      </c>
      <c r="BG8" s="8">
        <v>6.99</v>
      </c>
      <c r="BH8" s="8">
        <v>35</v>
      </c>
      <c r="BI8" s="7">
        <v>14</v>
      </c>
      <c r="BJ8" s="7">
        <v>7</v>
      </c>
      <c r="BK8" s="8">
        <v>5.2</v>
      </c>
      <c r="BL8" s="6" t="s">
        <v>100</v>
      </c>
      <c r="BM8" s="6" t="s">
        <v>101</v>
      </c>
      <c r="BN8" s="6" t="s">
        <v>102</v>
      </c>
      <c r="BO8" s="6" t="s">
        <v>103</v>
      </c>
      <c r="BP8" s="6" t="s">
        <v>104</v>
      </c>
      <c r="BQ8" s="6" t="s">
        <v>105</v>
      </c>
      <c r="BR8" s="6" t="s">
        <v>106</v>
      </c>
      <c r="BS8" s="7">
        <v>1998</v>
      </c>
      <c r="BT8" s="6" t="s">
        <v>107</v>
      </c>
      <c r="BU8" s="6" t="s">
        <v>108</v>
      </c>
      <c r="BV8" s="6" t="s">
        <v>109</v>
      </c>
      <c r="BW8" s="6" t="s">
        <v>110</v>
      </c>
      <c r="BX8" s="6" t="s">
        <v>111</v>
      </c>
      <c r="BY8" s="7" t="b">
        <f t="shared" si="20"/>
        <v>1</v>
      </c>
      <c r="BZ8" s="7" t="b">
        <f t="shared" si="0"/>
        <v>1</v>
      </c>
      <c r="CA8" s="7" t="b">
        <f t="shared" si="1"/>
        <v>1</v>
      </c>
      <c r="CB8" s="7" t="b">
        <f t="shared" si="2"/>
        <v>1</v>
      </c>
      <c r="CC8" s="9">
        <f t="shared" si="3"/>
        <v>6.29854173761683</v>
      </c>
      <c r="CD8" s="9">
        <f t="shared" si="4"/>
        <v>31.5684729096919</v>
      </c>
      <c r="CE8" s="9">
        <f t="shared" si="5"/>
        <v>15.4290914127208</v>
      </c>
      <c r="CF8" s="9">
        <f t="shared" si="6"/>
        <v>11.7503783671338</v>
      </c>
      <c r="CG8" s="9">
        <f t="shared" si="7"/>
        <v>2.84392867933186</v>
      </c>
      <c r="CH8" s="9">
        <f t="shared" si="8"/>
        <v>2.07531876903925</v>
      </c>
      <c r="CI8" s="9">
        <f t="shared" si="9"/>
        <v>16.0347650351835</v>
      </c>
      <c r="CJ8" s="9">
        <f t="shared" si="10"/>
        <v>0.242198018893548</v>
      </c>
      <c r="CK8" s="9">
        <f t="shared" si="11"/>
        <v>10.6693420618691</v>
      </c>
      <c r="CL8" s="9">
        <f t="shared" si="12"/>
        <v>16.3250718189563</v>
      </c>
      <c r="CM8" s="9">
        <f t="shared" si="13"/>
        <v>1.21179143688907</v>
      </c>
      <c r="CN8" s="10">
        <f t="shared" si="14"/>
        <v>162508</v>
      </c>
      <c r="CO8" s="11">
        <f t="shared" si="15"/>
        <v>44.1372478456295</v>
      </c>
      <c r="CP8" s="11">
        <f t="shared" si="16"/>
        <v>73.8150562342061</v>
      </c>
      <c r="CQ8" s="11">
        <f t="shared" si="17"/>
        <v>54.8899862716522</v>
      </c>
      <c r="CR8" s="9">
        <f t="shared" si="18"/>
        <v>12.1296514932879</v>
      </c>
      <c r="CS8" s="10">
        <f t="shared" si="19"/>
        <v>811714</v>
      </c>
    </row>
    <row r="9" spans="1:97">
      <c r="A9" s="6" t="s">
        <v>99</v>
      </c>
      <c r="B9" s="7">
        <v>2025</v>
      </c>
      <c r="C9" s="7">
        <v>1917919</v>
      </c>
      <c r="D9" s="7">
        <v>1317796</v>
      </c>
      <c r="E9" s="7">
        <v>600123</v>
      </c>
      <c r="F9" s="7">
        <v>143879</v>
      </c>
      <c r="G9" s="7">
        <v>103552</v>
      </c>
      <c r="H9" s="7">
        <v>61237</v>
      </c>
      <c r="I9" s="7">
        <v>291455</v>
      </c>
      <c r="J9" s="7">
        <v>12455</v>
      </c>
      <c r="K9" s="7">
        <v>22516</v>
      </c>
      <c r="L9" s="7">
        <v>3355</v>
      </c>
      <c r="M9" s="7">
        <v>284749</v>
      </c>
      <c r="N9" s="7">
        <v>56950</v>
      </c>
      <c r="O9" s="7">
        <v>227799</v>
      </c>
      <c r="P9" s="7">
        <v>831300</v>
      </c>
      <c r="Q9" s="7">
        <v>231201</v>
      </c>
      <c r="R9" s="7">
        <v>270780</v>
      </c>
      <c r="S9" s="7">
        <v>91026</v>
      </c>
      <c r="T9" s="7">
        <v>1424307</v>
      </c>
      <c r="U9" s="7">
        <v>747521</v>
      </c>
      <c r="V9" s="7">
        <v>34894</v>
      </c>
      <c r="W9" s="7">
        <v>45614</v>
      </c>
      <c r="X9" s="7">
        <v>36301</v>
      </c>
      <c r="Y9" s="7">
        <v>2288637</v>
      </c>
      <c r="Z9" s="7">
        <v>120829</v>
      </c>
      <c r="AA9" s="7">
        <v>205793</v>
      </c>
      <c r="AB9" s="7">
        <v>140384</v>
      </c>
      <c r="AC9" s="7">
        <v>467006</v>
      </c>
      <c r="AD9" s="7">
        <v>224396</v>
      </c>
      <c r="AE9" s="7">
        <v>53113</v>
      </c>
      <c r="AF9" s="7">
        <v>744515</v>
      </c>
      <c r="AG9" s="7">
        <v>486000</v>
      </c>
      <c r="AH9" s="7">
        <v>1010872</v>
      </c>
      <c r="AI9" s="7">
        <v>47250</v>
      </c>
      <c r="AJ9" s="7">
        <v>1544122</v>
      </c>
      <c r="AK9" s="7">
        <v>2288637</v>
      </c>
      <c r="AL9" s="7">
        <v>-9547</v>
      </c>
      <c r="AM9" s="7">
        <v>-14608</v>
      </c>
      <c r="AN9" s="7">
        <v>-8849</v>
      </c>
      <c r="AO9" s="7">
        <v>13664</v>
      </c>
      <c r="AP9" s="7">
        <v>8715</v>
      </c>
      <c r="AQ9" s="7">
        <v>8520</v>
      </c>
      <c r="AR9" s="7">
        <v>286931</v>
      </c>
      <c r="AS9" s="7">
        <v>-95896</v>
      </c>
      <c r="AT9" s="7">
        <v>-1114</v>
      </c>
      <c r="AU9" s="7">
        <v>-3370</v>
      </c>
      <c r="AV9" s="7">
        <v>-2842</v>
      </c>
      <c r="AW9" s="7">
        <v>-103222</v>
      </c>
      <c r="AX9" s="7">
        <v>12621</v>
      </c>
      <c r="AY9" s="7">
        <v>0</v>
      </c>
      <c r="AZ9" s="7">
        <v>-56950</v>
      </c>
      <c r="BA9" s="7">
        <v>-44329</v>
      </c>
      <c r="BB9" s="7">
        <v>139380</v>
      </c>
      <c r="BC9" s="7">
        <v>691920</v>
      </c>
      <c r="BD9" s="7">
        <v>831300</v>
      </c>
      <c r="BE9" s="7">
        <v>33</v>
      </c>
      <c r="BF9" s="7">
        <v>67</v>
      </c>
      <c r="BG9" s="8">
        <v>6.64</v>
      </c>
      <c r="BH9" s="8">
        <v>35</v>
      </c>
      <c r="BI9" s="7">
        <v>14</v>
      </c>
      <c r="BJ9" s="7">
        <v>14</v>
      </c>
      <c r="BK9" s="8">
        <v>5</v>
      </c>
      <c r="BL9" s="6" t="s">
        <v>100</v>
      </c>
      <c r="BM9" s="6" t="s">
        <v>101</v>
      </c>
      <c r="BN9" s="6" t="s">
        <v>102</v>
      </c>
      <c r="BO9" s="6" t="s">
        <v>103</v>
      </c>
      <c r="BP9" s="6" t="s">
        <v>104</v>
      </c>
      <c r="BQ9" s="6" t="s">
        <v>105</v>
      </c>
      <c r="BR9" s="6" t="s">
        <v>106</v>
      </c>
      <c r="BS9" s="7">
        <v>1998</v>
      </c>
      <c r="BT9" s="6" t="s">
        <v>107</v>
      </c>
      <c r="BU9" s="6" t="s">
        <v>108</v>
      </c>
      <c r="BV9" s="6" t="s">
        <v>109</v>
      </c>
      <c r="BW9" s="6" t="s">
        <v>110</v>
      </c>
      <c r="BX9" s="6" t="s">
        <v>111</v>
      </c>
      <c r="BY9" s="7" t="b">
        <f t="shared" si="20"/>
        <v>1</v>
      </c>
      <c r="BZ9" s="7" t="b">
        <f t="shared" si="0"/>
        <v>1</v>
      </c>
      <c r="CA9" s="7" t="b">
        <f t="shared" si="1"/>
        <v>1</v>
      </c>
      <c r="CB9" s="7" t="b">
        <f t="shared" si="2"/>
        <v>1</v>
      </c>
      <c r="CC9" s="9">
        <f t="shared" si="3"/>
        <v>6.67806171458575</v>
      </c>
      <c r="CD9" s="9">
        <f t="shared" si="4"/>
        <v>31.2903203941355</v>
      </c>
      <c r="CE9" s="9">
        <f t="shared" si="5"/>
        <v>15.1964186183045</v>
      </c>
      <c r="CF9" s="9">
        <f t="shared" si="6"/>
        <v>11.8774046244914</v>
      </c>
      <c r="CG9" s="9">
        <f t="shared" si="7"/>
        <v>3.04986873830315</v>
      </c>
      <c r="CH9" s="9">
        <f t="shared" si="8"/>
        <v>2.27513351006197</v>
      </c>
      <c r="CI9" s="9">
        <f t="shared" si="9"/>
        <v>15.0843056369359</v>
      </c>
      <c r="CJ9" s="9">
        <f t="shared" si="10"/>
        <v>0.223573655449505</v>
      </c>
      <c r="CK9" s="9">
        <f t="shared" si="11"/>
        <v>10.4425377128312</v>
      </c>
      <c r="CL9" s="9">
        <f t="shared" si="12"/>
        <v>15.6166031682374</v>
      </c>
      <c r="CM9" s="9">
        <f t="shared" si="13"/>
        <v>1.25957971720684</v>
      </c>
      <c r="CN9" s="10">
        <f t="shared" si="14"/>
        <v>191035</v>
      </c>
      <c r="CO9" s="11">
        <f t="shared" si="15"/>
        <v>43.0915161172083</v>
      </c>
      <c r="CP9" s="11">
        <f t="shared" si="16"/>
        <v>72.9769554619987</v>
      </c>
      <c r="CQ9" s="11">
        <f t="shared" si="17"/>
        <v>55.107744294261</v>
      </c>
      <c r="CR9" s="9">
        <f t="shared" si="18"/>
        <v>12.9443506839581</v>
      </c>
      <c r="CS9" s="10">
        <f t="shared" si="19"/>
        <v>957301</v>
      </c>
    </row>
    <row r="10" spans="1:97">
      <c r="A10" s="6" t="s">
        <v>112</v>
      </c>
      <c r="B10" s="7">
        <v>2021</v>
      </c>
      <c r="C10" s="7">
        <v>1915669</v>
      </c>
      <c r="D10" s="7">
        <v>1326693</v>
      </c>
      <c r="E10" s="7">
        <v>588976</v>
      </c>
      <c r="F10" s="7">
        <v>146791</v>
      </c>
      <c r="G10" s="7">
        <v>111055</v>
      </c>
      <c r="H10" s="7">
        <v>59593</v>
      </c>
      <c r="I10" s="7">
        <v>271537</v>
      </c>
      <c r="J10" s="7">
        <v>6932</v>
      </c>
      <c r="K10" s="7">
        <v>28095</v>
      </c>
      <c r="L10" s="7">
        <v>5376</v>
      </c>
      <c r="M10" s="7">
        <v>255750</v>
      </c>
      <c r="N10" s="7">
        <v>51150</v>
      </c>
      <c r="O10" s="7">
        <v>204600</v>
      </c>
      <c r="P10" s="7">
        <v>506233</v>
      </c>
      <c r="Q10" s="7">
        <v>262420</v>
      </c>
      <c r="R10" s="7">
        <v>272608</v>
      </c>
      <c r="S10" s="7">
        <v>97631</v>
      </c>
      <c r="T10" s="7">
        <v>1138892</v>
      </c>
      <c r="U10" s="7">
        <v>792190</v>
      </c>
      <c r="V10" s="7">
        <v>34084</v>
      </c>
      <c r="W10" s="7">
        <v>47902</v>
      </c>
      <c r="X10" s="7">
        <v>33780</v>
      </c>
      <c r="Y10" s="7">
        <v>2046848</v>
      </c>
      <c r="Z10" s="7">
        <v>147506</v>
      </c>
      <c r="AA10" s="7">
        <v>196278</v>
      </c>
      <c r="AB10" s="7">
        <v>134789</v>
      </c>
      <c r="AC10" s="7">
        <v>478573</v>
      </c>
      <c r="AD10" s="7">
        <v>273941</v>
      </c>
      <c r="AE10" s="7">
        <v>51884</v>
      </c>
      <c r="AF10" s="7">
        <v>804398</v>
      </c>
      <c r="AG10" s="7">
        <v>648000</v>
      </c>
      <c r="AH10" s="7">
        <v>531450</v>
      </c>
      <c r="AI10" s="7">
        <v>63000</v>
      </c>
      <c r="AJ10" s="7">
        <v>1242450</v>
      </c>
      <c r="AK10" s="7">
        <v>2046848</v>
      </c>
      <c r="AL10" s="7">
        <v>-30639</v>
      </c>
      <c r="AM10" s="7">
        <v>-32690</v>
      </c>
      <c r="AN10" s="7">
        <v>-7631</v>
      </c>
      <c r="AO10" s="7">
        <v>18053</v>
      </c>
      <c r="AP10" s="7">
        <v>-211</v>
      </c>
      <c r="AQ10" s="7">
        <v>1484</v>
      </c>
      <c r="AR10" s="7">
        <v>212559</v>
      </c>
      <c r="AS10" s="7">
        <v>-95783</v>
      </c>
      <c r="AT10" s="7">
        <v>-1684</v>
      </c>
      <c r="AU10" s="7">
        <v>-2902</v>
      </c>
      <c r="AV10" s="7">
        <v>-1380</v>
      </c>
      <c r="AW10" s="7">
        <v>-101749</v>
      </c>
      <c r="AX10" s="7">
        <v>61447</v>
      </c>
      <c r="AY10" s="7">
        <v>0</v>
      </c>
      <c r="AZ10" s="7">
        <v>-51150</v>
      </c>
      <c r="BA10" s="7">
        <v>10297</v>
      </c>
      <c r="BB10" s="7">
        <v>121107</v>
      </c>
      <c r="BC10" s="7">
        <v>385126</v>
      </c>
      <c r="BD10" s="7">
        <v>506233</v>
      </c>
      <c r="BE10" s="7">
        <v>46</v>
      </c>
      <c r="BF10" s="7">
        <v>66</v>
      </c>
      <c r="BG10" s="8">
        <v>7.19</v>
      </c>
      <c r="BH10" s="8">
        <v>35</v>
      </c>
      <c r="BI10" s="7">
        <v>22</v>
      </c>
      <c r="BJ10" s="7">
        <v>25</v>
      </c>
      <c r="BK10" s="8">
        <v>5</v>
      </c>
      <c r="BL10" s="6" t="s">
        <v>100</v>
      </c>
      <c r="BM10" s="6" t="s">
        <v>101</v>
      </c>
      <c r="BN10" s="6" t="s">
        <v>113</v>
      </c>
      <c r="BO10" s="6" t="s">
        <v>114</v>
      </c>
      <c r="BP10" s="6" t="s">
        <v>104</v>
      </c>
      <c r="BQ10" s="6" t="s">
        <v>105</v>
      </c>
      <c r="BR10" s="6" t="s">
        <v>115</v>
      </c>
      <c r="BS10" s="7">
        <v>2000</v>
      </c>
      <c r="BT10" s="6" t="s">
        <v>107</v>
      </c>
      <c r="BU10" s="6" t="s">
        <v>108</v>
      </c>
      <c r="BV10" s="6" t="s">
        <v>109</v>
      </c>
      <c r="BW10" s="6" t="s">
        <v>110</v>
      </c>
      <c r="BX10" s="6" t="s">
        <v>111</v>
      </c>
      <c r="BY10" s="7" t="b">
        <f t="shared" si="20"/>
        <v>1</v>
      </c>
      <c r="BZ10" s="7" t="b">
        <f t="shared" si="0"/>
        <v>1</v>
      </c>
      <c r="CA10" s="7" t="b">
        <f t="shared" si="1"/>
        <v>1</v>
      </c>
      <c r="CB10" s="7" t="b">
        <f t="shared" si="2"/>
        <v>1</v>
      </c>
      <c r="CC10" s="9" t="str">
        <f t="shared" si="3"/>
        <v/>
      </c>
      <c r="CD10" s="9">
        <f t="shared" si="4"/>
        <v>30.7451861464585</v>
      </c>
      <c r="CE10" s="9">
        <f t="shared" si="5"/>
        <v>14.1745259749988</v>
      </c>
      <c r="CF10" s="9">
        <f t="shared" si="6"/>
        <v>10.6803419588666</v>
      </c>
      <c r="CG10" s="9">
        <f t="shared" si="7"/>
        <v>2.37976651419951</v>
      </c>
      <c r="CH10" s="9">
        <f t="shared" si="8"/>
        <v>1.60613532313774</v>
      </c>
      <c r="CI10" s="9">
        <f t="shared" si="9"/>
        <v>20.5900486992683</v>
      </c>
      <c r="CJ10" s="9">
        <f t="shared" si="10"/>
        <v>0.339206406696447</v>
      </c>
      <c r="CK10" s="9" t="str">
        <f t="shared" si="11"/>
        <v/>
      </c>
      <c r="CL10" s="9" t="str">
        <f t="shared" si="12"/>
        <v/>
      </c>
      <c r="CM10" s="9">
        <f t="shared" si="13"/>
        <v>1.03890029325513</v>
      </c>
      <c r="CN10" s="10">
        <f t="shared" si="14"/>
        <v>116776</v>
      </c>
      <c r="CO10" s="11" t="str">
        <f t="shared" si="15"/>
        <v/>
      </c>
      <c r="CP10" s="11" t="str">
        <f t="shared" si="16"/>
        <v/>
      </c>
      <c r="CQ10" s="11" t="str">
        <f t="shared" si="17"/>
        <v/>
      </c>
      <c r="CR10" s="9">
        <f t="shared" si="18"/>
        <v>9.66495817761168</v>
      </c>
      <c r="CS10" s="10">
        <f t="shared" si="19"/>
        <v>660319</v>
      </c>
    </row>
    <row r="11" spans="1:97">
      <c r="A11" s="6" t="s">
        <v>112</v>
      </c>
      <c r="B11" s="7">
        <v>2022</v>
      </c>
      <c r="C11" s="7">
        <v>2080145</v>
      </c>
      <c r="D11" s="7">
        <v>1448578</v>
      </c>
      <c r="E11" s="7">
        <v>631567</v>
      </c>
      <c r="F11" s="7">
        <v>162476</v>
      </c>
      <c r="G11" s="7">
        <v>116909</v>
      </c>
      <c r="H11" s="7">
        <v>66461</v>
      </c>
      <c r="I11" s="7">
        <v>285721</v>
      </c>
      <c r="J11" s="7">
        <v>9112</v>
      </c>
      <c r="K11" s="7">
        <v>33537</v>
      </c>
      <c r="L11" s="7">
        <v>4727</v>
      </c>
      <c r="M11" s="7">
        <v>266023</v>
      </c>
      <c r="N11" s="7">
        <v>53205</v>
      </c>
      <c r="O11" s="7">
        <v>212818</v>
      </c>
      <c r="P11" s="7">
        <v>579175</v>
      </c>
      <c r="Q11" s="7">
        <v>330544</v>
      </c>
      <c r="R11" s="7">
        <v>317497</v>
      </c>
      <c r="S11" s="7">
        <v>104685</v>
      </c>
      <c r="T11" s="7">
        <v>1331901</v>
      </c>
      <c r="U11" s="7">
        <v>840137</v>
      </c>
      <c r="V11" s="7">
        <v>36050</v>
      </c>
      <c r="W11" s="7">
        <v>50893</v>
      </c>
      <c r="X11" s="7">
        <v>38129</v>
      </c>
      <c r="Y11" s="7">
        <v>2297110</v>
      </c>
      <c r="Z11" s="7">
        <v>167452</v>
      </c>
      <c r="AA11" s="7">
        <v>214310</v>
      </c>
      <c r="AB11" s="7">
        <v>146418</v>
      </c>
      <c r="AC11" s="7">
        <v>528180</v>
      </c>
      <c r="AD11" s="7">
        <v>310981</v>
      </c>
      <c r="AE11" s="7">
        <v>55885</v>
      </c>
      <c r="AF11" s="7">
        <v>895046</v>
      </c>
      <c r="AG11" s="7">
        <v>648000</v>
      </c>
      <c r="AH11" s="7">
        <v>691064</v>
      </c>
      <c r="AI11" s="7">
        <v>63000</v>
      </c>
      <c r="AJ11" s="7">
        <v>1402064</v>
      </c>
      <c r="AK11" s="7">
        <v>2297110</v>
      </c>
      <c r="AL11" s="7">
        <v>-68124</v>
      </c>
      <c r="AM11" s="7">
        <v>-44889</v>
      </c>
      <c r="AN11" s="7">
        <v>-7054</v>
      </c>
      <c r="AO11" s="7">
        <v>18032</v>
      </c>
      <c r="AP11" s="7">
        <v>11629</v>
      </c>
      <c r="AQ11" s="7">
        <v>4001</v>
      </c>
      <c r="AR11" s="7">
        <v>192874</v>
      </c>
      <c r="AS11" s="7">
        <v>-114408</v>
      </c>
      <c r="AT11" s="7">
        <v>-1966</v>
      </c>
      <c r="AU11" s="7">
        <v>-2991</v>
      </c>
      <c r="AV11" s="7">
        <v>-4349</v>
      </c>
      <c r="AW11" s="7">
        <v>-123714</v>
      </c>
      <c r="AX11" s="7">
        <v>56986</v>
      </c>
      <c r="AY11" s="7">
        <v>0</v>
      </c>
      <c r="AZ11" s="7">
        <v>-53204</v>
      </c>
      <c r="BA11" s="7">
        <v>3782</v>
      </c>
      <c r="BB11" s="7">
        <v>72942</v>
      </c>
      <c r="BC11" s="7">
        <v>506233</v>
      </c>
      <c r="BD11" s="7">
        <v>579175</v>
      </c>
      <c r="BE11" s="7">
        <v>52</v>
      </c>
      <c r="BF11" s="7">
        <v>69</v>
      </c>
      <c r="BG11" s="8">
        <v>7.45</v>
      </c>
      <c r="BH11" s="8">
        <v>35</v>
      </c>
      <c r="BI11" s="7">
        <v>19</v>
      </c>
      <c r="BJ11" s="7">
        <v>11</v>
      </c>
      <c r="BK11" s="8">
        <v>5.5</v>
      </c>
      <c r="BL11" s="6" t="s">
        <v>100</v>
      </c>
      <c r="BM11" s="6" t="s">
        <v>101</v>
      </c>
      <c r="BN11" s="6" t="s">
        <v>113</v>
      </c>
      <c r="BO11" s="6" t="s">
        <v>114</v>
      </c>
      <c r="BP11" s="6" t="s">
        <v>104</v>
      </c>
      <c r="BQ11" s="6" t="s">
        <v>105</v>
      </c>
      <c r="BR11" s="6" t="s">
        <v>115</v>
      </c>
      <c r="BS11" s="7">
        <v>2000</v>
      </c>
      <c r="BT11" s="6" t="s">
        <v>107</v>
      </c>
      <c r="BU11" s="6" t="s">
        <v>108</v>
      </c>
      <c r="BV11" s="6" t="s">
        <v>109</v>
      </c>
      <c r="BW11" s="6" t="s">
        <v>110</v>
      </c>
      <c r="BX11" s="6" t="s">
        <v>111</v>
      </c>
      <c r="BY11" s="7" t="b">
        <f t="shared" si="20"/>
        <v>1</v>
      </c>
      <c r="BZ11" s="7" t="b">
        <f t="shared" si="0"/>
        <v>1</v>
      </c>
      <c r="CA11" s="7" t="b">
        <f t="shared" si="1"/>
        <v>1</v>
      </c>
      <c r="CB11" s="7" t="b">
        <f t="shared" si="2"/>
        <v>1</v>
      </c>
      <c r="CC11" s="9">
        <f t="shared" si="3"/>
        <v>8.58582563062826</v>
      </c>
      <c r="CD11" s="9">
        <f t="shared" si="4"/>
        <v>30.3616815173942</v>
      </c>
      <c r="CE11" s="9">
        <f t="shared" si="5"/>
        <v>13.7356290066318</v>
      </c>
      <c r="CF11" s="9">
        <f t="shared" si="6"/>
        <v>10.2309214021138</v>
      </c>
      <c r="CG11" s="9">
        <f t="shared" si="7"/>
        <v>2.52168010905373</v>
      </c>
      <c r="CH11" s="9">
        <f t="shared" si="8"/>
        <v>1.72236548146465</v>
      </c>
      <c r="CI11" s="9">
        <f t="shared" si="9"/>
        <v>20.8276051212175</v>
      </c>
      <c r="CJ11" s="9">
        <f t="shared" si="10"/>
        <v>0.341234779582102</v>
      </c>
      <c r="CK11" s="9">
        <f t="shared" si="11"/>
        <v>9.79834519578688</v>
      </c>
      <c r="CL11" s="9">
        <f t="shared" si="12"/>
        <v>16.0950556510572</v>
      </c>
      <c r="CM11" s="9">
        <f t="shared" si="13"/>
        <v>0.906286122414457</v>
      </c>
      <c r="CN11" s="10">
        <f t="shared" si="14"/>
        <v>78466</v>
      </c>
      <c r="CO11" s="11">
        <f t="shared" si="15"/>
        <v>52.0232628013912</v>
      </c>
      <c r="CP11" s="11">
        <f t="shared" si="16"/>
        <v>74.3447453295577</v>
      </c>
      <c r="CQ11" s="11">
        <f t="shared" si="17"/>
        <v>51.7281844678022</v>
      </c>
      <c r="CR11" s="9">
        <f t="shared" si="18"/>
        <v>8.51957539434058</v>
      </c>
      <c r="CS11" s="10">
        <f t="shared" si="19"/>
        <v>803721</v>
      </c>
    </row>
    <row r="12" spans="1:97">
      <c r="A12" s="6" t="s">
        <v>112</v>
      </c>
      <c r="B12" s="7">
        <v>2023</v>
      </c>
      <c r="C12" s="7">
        <v>2331689</v>
      </c>
      <c r="D12" s="7">
        <v>1612370</v>
      </c>
      <c r="E12" s="7">
        <v>719319</v>
      </c>
      <c r="F12" s="7">
        <v>183432</v>
      </c>
      <c r="G12" s="7">
        <v>131094</v>
      </c>
      <c r="H12" s="7">
        <v>73134</v>
      </c>
      <c r="I12" s="7">
        <v>331659</v>
      </c>
      <c r="J12" s="7">
        <v>10425</v>
      </c>
      <c r="K12" s="7">
        <v>40820</v>
      </c>
      <c r="L12" s="7">
        <v>4947</v>
      </c>
      <c r="M12" s="7">
        <v>306211</v>
      </c>
      <c r="N12" s="7">
        <v>61242</v>
      </c>
      <c r="O12" s="7">
        <v>244969</v>
      </c>
      <c r="P12" s="7">
        <v>658777</v>
      </c>
      <c r="Q12" s="7">
        <v>459950</v>
      </c>
      <c r="R12" s="7">
        <v>388736</v>
      </c>
      <c r="S12" s="7">
        <v>105474</v>
      </c>
      <c r="T12" s="7">
        <v>1612937</v>
      </c>
      <c r="U12" s="7">
        <v>906904</v>
      </c>
      <c r="V12" s="7">
        <v>43274</v>
      </c>
      <c r="W12" s="7">
        <v>60521</v>
      </c>
      <c r="X12" s="7">
        <v>43292</v>
      </c>
      <c r="Y12" s="7">
        <v>2666928</v>
      </c>
      <c r="Z12" s="7">
        <v>212184</v>
      </c>
      <c r="AA12" s="7">
        <v>234125</v>
      </c>
      <c r="AB12" s="7">
        <v>181817</v>
      </c>
      <c r="AC12" s="7">
        <v>628126</v>
      </c>
      <c r="AD12" s="7">
        <v>394055</v>
      </c>
      <c r="AE12" s="7">
        <v>58956</v>
      </c>
      <c r="AF12" s="7">
        <v>1081137</v>
      </c>
      <c r="AG12" s="7">
        <v>648000</v>
      </c>
      <c r="AH12" s="7">
        <v>874791</v>
      </c>
      <c r="AI12" s="7">
        <v>63000</v>
      </c>
      <c r="AJ12" s="7">
        <v>1585791</v>
      </c>
      <c r="AK12" s="7">
        <v>2666928</v>
      </c>
      <c r="AL12" s="7">
        <v>-129406</v>
      </c>
      <c r="AM12" s="7">
        <v>-71239</v>
      </c>
      <c r="AN12" s="7">
        <v>-789</v>
      </c>
      <c r="AO12" s="7">
        <v>19815</v>
      </c>
      <c r="AP12" s="7">
        <v>35399</v>
      </c>
      <c r="AQ12" s="7">
        <v>3071</v>
      </c>
      <c r="AR12" s="7">
        <v>174954</v>
      </c>
      <c r="AS12" s="7">
        <v>-139901</v>
      </c>
      <c r="AT12" s="7">
        <v>-7224</v>
      </c>
      <c r="AU12" s="7">
        <v>-9628</v>
      </c>
      <c r="AV12" s="7">
        <v>-5163</v>
      </c>
      <c r="AW12" s="7">
        <v>-161916</v>
      </c>
      <c r="AX12" s="7">
        <v>127806</v>
      </c>
      <c r="AY12" s="7">
        <v>0</v>
      </c>
      <c r="AZ12" s="7">
        <v>-61242</v>
      </c>
      <c r="BA12" s="7">
        <v>66564</v>
      </c>
      <c r="BB12" s="7">
        <v>79602</v>
      </c>
      <c r="BC12" s="7">
        <v>579175</v>
      </c>
      <c r="BD12" s="7">
        <v>658777</v>
      </c>
      <c r="BE12" s="7">
        <v>68</v>
      </c>
      <c r="BF12" s="7">
        <v>76</v>
      </c>
      <c r="BG12" s="8">
        <v>7.53</v>
      </c>
      <c r="BH12" s="8">
        <v>35</v>
      </c>
      <c r="BI12" s="7">
        <v>22</v>
      </c>
      <c r="BJ12" s="7">
        <v>9</v>
      </c>
      <c r="BK12" s="8">
        <v>6</v>
      </c>
      <c r="BL12" s="6" t="s">
        <v>100</v>
      </c>
      <c r="BM12" s="6" t="s">
        <v>101</v>
      </c>
      <c r="BN12" s="6" t="s">
        <v>113</v>
      </c>
      <c r="BO12" s="6" t="s">
        <v>114</v>
      </c>
      <c r="BP12" s="6" t="s">
        <v>104</v>
      </c>
      <c r="BQ12" s="6" t="s">
        <v>105</v>
      </c>
      <c r="BR12" s="6" t="s">
        <v>115</v>
      </c>
      <c r="BS12" s="7">
        <v>2000</v>
      </c>
      <c r="BT12" s="6" t="s">
        <v>107</v>
      </c>
      <c r="BU12" s="6" t="s">
        <v>108</v>
      </c>
      <c r="BV12" s="6" t="s">
        <v>109</v>
      </c>
      <c r="BW12" s="6" t="s">
        <v>110</v>
      </c>
      <c r="BX12" s="6" t="s">
        <v>111</v>
      </c>
      <c r="BY12" s="7" t="b">
        <f t="shared" si="20"/>
        <v>1</v>
      </c>
      <c r="BZ12" s="7" t="b">
        <f t="shared" si="0"/>
        <v>1</v>
      </c>
      <c r="CA12" s="7" t="b">
        <f t="shared" si="1"/>
        <v>1</v>
      </c>
      <c r="CB12" s="7" t="b">
        <f t="shared" si="2"/>
        <v>1</v>
      </c>
      <c r="CC12" s="9">
        <f t="shared" si="3"/>
        <v>12.0926185434188</v>
      </c>
      <c r="CD12" s="9">
        <f t="shared" si="4"/>
        <v>30.8496973653004</v>
      </c>
      <c r="CE12" s="9">
        <f t="shared" si="5"/>
        <v>14.2239809854573</v>
      </c>
      <c r="CF12" s="9">
        <f t="shared" si="6"/>
        <v>10.5060752098586</v>
      </c>
      <c r="CG12" s="9">
        <f t="shared" si="7"/>
        <v>2.56785581236886</v>
      </c>
      <c r="CH12" s="9">
        <f t="shared" si="8"/>
        <v>1.78105507493719</v>
      </c>
      <c r="CI12" s="9">
        <f t="shared" si="9"/>
        <v>22.7317347899906</v>
      </c>
      <c r="CJ12" s="9">
        <f t="shared" si="10"/>
        <v>0.382294388100323</v>
      </c>
      <c r="CK12" s="9">
        <f t="shared" si="11"/>
        <v>9.86974716954222</v>
      </c>
      <c r="CL12" s="9">
        <f t="shared" si="12"/>
        <v>16.3976498190173</v>
      </c>
      <c r="CM12" s="9">
        <f t="shared" si="13"/>
        <v>0.714188325869804</v>
      </c>
      <c r="CN12" s="10">
        <f t="shared" si="14"/>
        <v>35053</v>
      </c>
      <c r="CO12" s="11">
        <f t="shared" si="15"/>
        <v>61.8715253191999</v>
      </c>
      <c r="CP12" s="11">
        <f t="shared" si="16"/>
        <v>79.9366910200512</v>
      </c>
      <c r="CQ12" s="11">
        <f t="shared" si="17"/>
        <v>50.7572005805119</v>
      </c>
      <c r="CR12" s="9">
        <f t="shared" si="18"/>
        <v>8.1249142577168</v>
      </c>
      <c r="CS12" s="10">
        <f t="shared" si="19"/>
        <v>984811</v>
      </c>
    </row>
    <row r="13" spans="1:97">
      <c r="A13" s="6" t="s">
        <v>112</v>
      </c>
      <c r="B13" s="7">
        <v>2024</v>
      </c>
      <c r="C13" s="7">
        <v>2662357</v>
      </c>
      <c r="D13" s="7">
        <v>1848940</v>
      </c>
      <c r="E13" s="7">
        <v>813417</v>
      </c>
      <c r="F13" s="7">
        <v>214506</v>
      </c>
      <c r="G13" s="7">
        <v>151084</v>
      </c>
      <c r="H13" s="7">
        <v>80669</v>
      </c>
      <c r="I13" s="7">
        <v>367158</v>
      </c>
      <c r="J13" s="7">
        <v>11858</v>
      </c>
      <c r="K13" s="7">
        <v>54465</v>
      </c>
      <c r="L13" s="7">
        <v>685</v>
      </c>
      <c r="M13" s="7">
        <v>325236</v>
      </c>
      <c r="N13" s="7">
        <v>65047</v>
      </c>
      <c r="O13" s="7">
        <v>260189</v>
      </c>
      <c r="P13" s="7">
        <v>686665</v>
      </c>
      <c r="Q13" s="7">
        <v>641883</v>
      </c>
      <c r="R13" s="7">
        <v>476165</v>
      </c>
      <c r="S13" s="7">
        <v>126974</v>
      </c>
      <c r="T13" s="7">
        <v>1931687</v>
      </c>
      <c r="U13" s="7">
        <v>985976</v>
      </c>
      <c r="V13" s="7">
        <v>49596</v>
      </c>
      <c r="W13" s="7">
        <v>60941</v>
      </c>
      <c r="X13" s="7">
        <v>49734</v>
      </c>
      <c r="Y13" s="7">
        <v>3077934</v>
      </c>
      <c r="Z13" s="7">
        <v>270229</v>
      </c>
      <c r="AA13" s="7">
        <v>263411</v>
      </c>
      <c r="AB13" s="7">
        <v>191842</v>
      </c>
      <c r="AC13" s="7">
        <v>725482</v>
      </c>
      <c r="AD13" s="7">
        <v>501855</v>
      </c>
      <c r="AE13" s="7">
        <v>69664</v>
      </c>
      <c r="AF13" s="7">
        <v>1297001</v>
      </c>
      <c r="AG13" s="7">
        <v>648000</v>
      </c>
      <c r="AH13" s="7">
        <v>1069933</v>
      </c>
      <c r="AI13" s="7">
        <v>63000</v>
      </c>
      <c r="AJ13" s="7">
        <v>1780933</v>
      </c>
      <c r="AK13" s="7">
        <v>3077934</v>
      </c>
      <c r="AL13" s="7">
        <v>-181933</v>
      </c>
      <c r="AM13" s="7">
        <v>-87429</v>
      </c>
      <c r="AN13" s="7">
        <v>-21500</v>
      </c>
      <c r="AO13" s="7">
        <v>29286</v>
      </c>
      <c r="AP13" s="7">
        <v>10025</v>
      </c>
      <c r="AQ13" s="7">
        <v>10708</v>
      </c>
      <c r="AR13" s="7">
        <v>100015</v>
      </c>
      <c r="AS13" s="7">
        <v>-159741</v>
      </c>
      <c r="AT13" s="7">
        <v>-6322</v>
      </c>
      <c r="AU13" s="7">
        <v>-420</v>
      </c>
      <c r="AV13" s="7">
        <v>-6442</v>
      </c>
      <c r="AW13" s="7">
        <v>-172925</v>
      </c>
      <c r="AX13" s="7">
        <v>165845</v>
      </c>
      <c r="AY13" s="7">
        <v>0</v>
      </c>
      <c r="AZ13" s="7">
        <v>-65047</v>
      </c>
      <c r="BA13" s="7">
        <v>100798</v>
      </c>
      <c r="BB13" s="7">
        <v>27888</v>
      </c>
      <c r="BC13" s="7">
        <v>658777</v>
      </c>
      <c r="BD13" s="7">
        <v>686665</v>
      </c>
      <c r="BE13" s="7">
        <v>85</v>
      </c>
      <c r="BF13" s="7">
        <v>89</v>
      </c>
      <c r="BG13" s="8">
        <v>7.9</v>
      </c>
      <c r="BH13" s="8">
        <v>35</v>
      </c>
      <c r="BI13" s="7">
        <v>18</v>
      </c>
      <c r="BJ13" s="7">
        <v>20</v>
      </c>
      <c r="BK13" s="8">
        <v>6</v>
      </c>
      <c r="BL13" s="6" t="s">
        <v>100</v>
      </c>
      <c r="BM13" s="6" t="s">
        <v>101</v>
      </c>
      <c r="BN13" s="6" t="s">
        <v>113</v>
      </c>
      <c r="BO13" s="6" t="s">
        <v>114</v>
      </c>
      <c r="BP13" s="6" t="s">
        <v>104</v>
      </c>
      <c r="BQ13" s="6" t="s">
        <v>105</v>
      </c>
      <c r="BR13" s="6" t="s">
        <v>115</v>
      </c>
      <c r="BS13" s="7">
        <v>2000</v>
      </c>
      <c r="BT13" s="6" t="s">
        <v>107</v>
      </c>
      <c r="BU13" s="6" t="s">
        <v>108</v>
      </c>
      <c r="BV13" s="6" t="s">
        <v>109</v>
      </c>
      <c r="BW13" s="6" t="s">
        <v>110</v>
      </c>
      <c r="BX13" s="6" t="s">
        <v>111</v>
      </c>
      <c r="BY13" s="7" t="b">
        <f t="shared" si="20"/>
        <v>1</v>
      </c>
      <c r="BZ13" s="7" t="b">
        <f t="shared" si="0"/>
        <v>1</v>
      </c>
      <c r="CA13" s="7" t="b">
        <f t="shared" si="1"/>
        <v>1</v>
      </c>
      <c r="CB13" s="7" t="b">
        <f t="shared" si="2"/>
        <v>1</v>
      </c>
      <c r="CC13" s="9">
        <f t="shared" si="3"/>
        <v>14.1814796055563</v>
      </c>
      <c r="CD13" s="9">
        <f t="shared" si="4"/>
        <v>30.5525141819824</v>
      </c>
      <c r="CE13" s="9">
        <f t="shared" si="5"/>
        <v>13.7907125152637</v>
      </c>
      <c r="CF13" s="9">
        <f t="shared" si="6"/>
        <v>9.77288169843488</v>
      </c>
      <c r="CG13" s="9">
        <f t="shared" si="7"/>
        <v>2.66262567506844</v>
      </c>
      <c r="CH13" s="9">
        <f t="shared" si="8"/>
        <v>1.83126252615503</v>
      </c>
      <c r="CI13" s="9">
        <f t="shared" si="9"/>
        <v>25.0844884913062</v>
      </c>
      <c r="CJ13" s="9">
        <f t="shared" si="10"/>
        <v>0.433527819407019</v>
      </c>
      <c r="CK13" s="9">
        <f t="shared" si="11"/>
        <v>9.05814621830777</v>
      </c>
      <c r="CL13" s="9">
        <f t="shared" si="12"/>
        <v>15.4565090574695</v>
      </c>
      <c r="CM13" s="9">
        <f t="shared" si="13"/>
        <v>0.384393652306593</v>
      </c>
      <c r="CN13" s="10">
        <f t="shared" si="14"/>
        <v>-59726</v>
      </c>
      <c r="CO13" s="11">
        <f t="shared" si="15"/>
        <v>75.5287598545199</v>
      </c>
      <c r="CP13" s="11">
        <f t="shared" si="16"/>
        <v>85.370229699179</v>
      </c>
      <c r="CQ13" s="11">
        <f t="shared" si="17"/>
        <v>49.1093924086233</v>
      </c>
      <c r="CR13" s="9">
        <f t="shared" si="18"/>
        <v>6.74117323051501</v>
      </c>
      <c r="CS13" s="10">
        <f t="shared" si="19"/>
        <v>1206205</v>
      </c>
    </row>
    <row r="14" spans="1:97">
      <c r="A14" s="6" t="s">
        <v>112</v>
      </c>
      <c r="B14" s="7">
        <v>2025</v>
      </c>
      <c r="C14" s="7">
        <v>3010804</v>
      </c>
      <c r="D14" s="7">
        <v>2105990</v>
      </c>
      <c r="E14" s="7">
        <v>904814</v>
      </c>
      <c r="F14" s="7">
        <v>248339</v>
      </c>
      <c r="G14" s="7">
        <v>172364</v>
      </c>
      <c r="H14" s="7">
        <v>94770</v>
      </c>
      <c r="I14" s="7">
        <v>389341</v>
      </c>
      <c r="J14" s="7">
        <v>12360</v>
      </c>
      <c r="K14" s="7">
        <v>71235</v>
      </c>
      <c r="L14" s="7">
        <v>8736</v>
      </c>
      <c r="M14" s="7">
        <v>339202</v>
      </c>
      <c r="N14" s="7">
        <v>67840</v>
      </c>
      <c r="O14" s="7">
        <v>271362</v>
      </c>
      <c r="P14" s="7">
        <v>729439</v>
      </c>
      <c r="Q14" s="7">
        <v>841375</v>
      </c>
      <c r="R14" s="7">
        <v>576984</v>
      </c>
      <c r="S14" s="7">
        <v>137856</v>
      </c>
      <c r="T14" s="7">
        <v>2285654</v>
      </c>
      <c r="U14" s="7">
        <v>1071854</v>
      </c>
      <c r="V14" s="7">
        <v>53596</v>
      </c>
      <c r="W14" s="7">
        <v>68310</v>
      </c>
      <c r="X14" s="7">
        <v>56362</v>
      </c>
      <c r="Y14" s="7">
        <v>3535776</v>
      </c>
      <c r="Z14" s="7">
        <v>337210</v>
      </c>
      <c r="AA14" s="7">
        <v>288492</v>
      </c>
      <c r="AB14" s="7">
        <v>219902</v>
      </c>
      <c r="AC14" s="7">
        <v>845604</v>
      </c>
      <c r="AD14" s="7">
        <v>626247</v>
      </c>
      <c r="AE14" s="7">
        <v>79470</v>
      </c>
      <c r="AF14" s="7">
        <v>1551321</v>
      </c>
      <c r="AG14" s="7">
        <v>648000</v>
      </c>
      <c r="AH14" s="7">
        <v>1273455</v>
      </c>
      <c r="AI14" s="7">
        <v>63000</v>
      </c>
      <c r="AJ14" s="7">
        <v>1984455</v>
      </c>
      <c r="AK14" s="7">
        <v>3535776</v>
      </c>
      <c r="AL14" s="7">
        <v>-199492</v>
      </c>
      <c r="AM14" s="7">
        <v>-100819</v>
      </c>
      <c r="AN14" s="7">
        <v>-10882</v>
      </c>
      <c r="AO14" s="7">
        <v>25081</v>
      </c>
      <c r="AP14" s="7">
        <v>28060</v>
      </c>
      <c r="AQ14" s="7">
        <v>9806</v>
      </c>
      <c r="AR14" s="7">
        <v>117886</v>
      </c>
      <c r="AS14" s="7">
        <v>-180648</v>
      </c>
      <c r="AT14" s="7">
        <v>-4000</v>
      </c>
      <c r="AU14" s="7">
        <v>-7369</v>
      </c>
      <c r="AV14" s="7">
        <v>-6628</v>
      </c>
      <c r="AW14" s="7">
        <v>-198645</v>
      </c>
      <c r="AX14" s="7">
        <v>191373</v>
      </c>
      <c r="AY14" s="7">
        <v>0</v>
      </c>
      <c r="AZ14" s="7">
        <v>-67840</v>
      </c>
      <c r="BA14" s="7">
        <v>123533</v>
      </c>
      <c r="BB14" s="7">
        <v>42774</v>
      </c>
      <c r="BC14" s="7">
        <v>686665</v>
      </c>
      <c r="BD14" s="7">
        <v>729439</v>
      </c>
      <c r="BE14" s="7">
        <v>95</v>
      </c>
      <c r="BF14" s="7">
        <v>87</v>
      </c>
      <c r="BG14" s="8">
        <v>8.21</v>
      </c>
      <c r="BH14" s="8">
        <v>35</v>
      </c>
      <c r="BI14" s="7">
        <v>13</v>
      </c>
      <c r="BJ14" s="7">
        <v>29</v>
      </c>
      <c r="BK14" s="8">
        <v>6</v>
      </c>
      <c r="BL14" s="6" t="s">
        <v>100</v>
      </c>
      <c r="BM14" s="6" t="s">
        <v>101</v>
      </c>
      <c r="BN14" s="6" t="s">
        <v>113</v>
      </c>
      <c r="BO14" s="6" t="s">
        <v>114</v>
      </c>
      <c r="BP14" s="6" t="s">
        <v>104</v>
      </c>
      <c r="BQ14" s="6" t="s">
        <v>105</v>
      </c>
      <c r="BR14" s="6" t="s">
        <v>115</v>
      </c>
      <c r="BS14" s="7">
        <v>2000</v>
      </c>
      <c r="BT14" s="6" t="s">
        <v>107</v>
      </c>
      <c r="BU14" s="6" t="s">
        <v>108</v>
      </c>
      <c r="BV14" s="6" t="s">
        <v>109</v>
      </c>
      <c r="BW14" s="6" t="s">
        <v>110</v>
      </c>
      <c r="BX14" s="6" t="s">
        <v>111</v>
      </c>
      <c r="BY14" s="7" t="b">
        <f t="shared" si="20"/>
        <v>1</v>
      </c>
      <c r="BZ14" s="7" t="b">
        <f t="shared" si="0"/>
        <v>1</v>
      </c>
      <c r="CA14" s="7" t="b">
        <f t="shared" si="1"/>
        <v>1</v>
      </c>
      <c r="CB14" s="7" t="b">
        <f t="shared" si="2"/>
        <v>1</v>
      </c>
      <c r="CC14" s="9">
        <f t="shared" si="3"/>
        <v>13.0879142053451</v>
      </c>
      <c r="CD14" s="9">
        <f t="shared" si="4"/>
        <v>30.0522385382775</v>
      </c>
      <c r="CE14" s="9">
        <f t="shared" si="5"/>
        <v>12.9314628252121</v>
      </c>
      <c r="CF14" s="9">
        <f t="shared" si="6"/>
        <v>9.01294139372739</v>
      </c>
      <c r="CG14" s="9">
        <f t="shared" si="7"/>
        <v>2.70298390263055</v>
      </c>
      <c r="CH14" s="9">
        <f t="shared" si="8"/>
        <v>1.85762366308579</v>
      </c>
      <c r="CI14" s="9">
        <f t="shared" si="9"/>
        <v>27.248813273239</v>
      </c>
      <c r="CJ14" s="9">
        <f t="shared" si="10"/>
        <v>0.485502064798647</v>
      </c>
      <c r="CK14" s="9">
        <f t="shared" si="11"/>
        <v>8.20604471620316</v>
      </c>
      <c r="CL14" s="9">
        <f t="shared" si="12"/>
        <v>14.4134947049282</v>
      </c>
      <c r="CM14" s="9">
        <f t="shared" si="13"/>
        <v>0.434423390157797</v>
      </c>
      <c r="CN14" s="10">
        <f t="shared" si="14"/>
        <v>-62762</v>
      </c>
      <c r="CO14" s="11">
        <f t="shared" si="15"/>
        <v>89.9077405902211</v>
      </c>
      <c r="CP14" s="11">
        <f t="shared" si="16"/>
        <v>91.2633452675464</v>
      </c>
      <c r="CQ14" s="11">
        <f t="shared" si="17"/>
        <v>47.826579186036</v>
      </c>
      <c r="CR14" s="9">
        <f t="shared" si="18"/>
        <v>5.46558573734821</v>
      </c>
      <c r="CS14" s="10">
        <f t="shared" si="19"/>
        <v>1440050</v>
      </c>
    </row>
    <row r="15" spans="1:97">
      <c r="A15" s="6" t="s">
        <v>116</v>
      </c>
      <c r="B15" s="7">
        <v>2021</v>
      </c>
      <c r="C15" s="7">
        <v>866105</v>
      </c>
      <c r="D15" s="7">
        <v>606003</v>
      </c>
      <c r="E15" s="7">
        <v>260102</v>
      </c>
      <c r="F15" s="7">
        <v>66151</v>
      </c>
      <c r="G15" s="7">
        <v>49311</v>
      </c>
      <c r="H15" s="7">
        <v>25038</v>
      </c>
      <c r="I15" s="7">
        <v>119602</v>
      </c>
      <c r="J15" s="7">
        <v>3737</v>
      </c>
      <c r="K15" s="7">
        <v>10994</v>
      </c>
      <c r="L15" s="7">
        <v>1129</v>
      </c>
      <c r="M15" s="7">
        <v>113474</v>
      </c>
      <c r="N15" s="7">
        <v>22695</v>
      </c>
      <c r="O15" s="7">
        <v>90779</v>
      </c>
      <c r="P15" s="7">
        <v>263541</v>
      </c>
      <c r="Q15" s="7">
        <v>106780</v>
      </c>
      <c r="R15" s="7">
        <v>122861</v>
      </c>
      <c r="S15" s="7">
        <v>42271</v>
      </c>
      <c r="T15" s="7">
        <v>535453</v>
      </c>
      <c r="U15" s="7">
        <v>329867</v>
      </c>
      <c r="V15" s="7">
        <v>14794</v>
      </c>
      <c r="W15" s="7">
        <v>20311</v>
      </c>
      <c r="X15" s="7">
        <v>16633</v>
      </c>
      <c r="Y15" s="7">
        <v>917058</v>
      </c>
      <c r="Z15" s="7">
        <v>60627</v>
      </c>
      <c r="AA15" s="7">
        <v>92976</v>
      </c>
      <c r="AB15" s="7">
        <v>63715</v>
      </c>
      <c r="AC15" s="7">
        <v>217318</v>
      </c>
      <c r="AD15" s="7">
        <v>112594</v>
      </c>
      <c r="AE15" s="7">
        <v>22962</v>
      </c>
      <c r="AF15" s="7">
        <v>352874</v>
      </c>
      <c r="AG15" s="7">
        <v>295200</v>
      </c>
      <c r="AH15" s="7">
        <v>240284</v>
      </c>
      <c r="AI15" s="7">
        <v>28700</v>
      </c>
      <c r="AJ15" s="7">
        <v>564184</v>
      </c>
      <c r="AK15" s="7">
        <v>917058</v>
      </c>
      <c r="AL15" s="7">
        <v>-12424</v>
      </c>
      <c r="AM15" s="7">
        <v>-14351</v>
      </c>
      <c r="AN15" s="7">
        <v>-1271</v>
      </c>
      <c r="AO15" s="7">
        <v>8055</v>
      </c>
      <c r="AP15" s="7">
        <v>2215</v>
      </c>
      <c r="AQ15" s="7">
        <v>2</v>
      </c>
      <c r="AR15" s="7">
        <v>98043</v>
      </c>
      <c r="AS15" s="7">
        <v>-43305</v>
      </c>
      <c r="AT15" s="7">
        <v>-34</v>
      </c>
      <c r="AU15" s="7">
        <v>189</v>
      </c>
      <c r="AV15" s="7">
        <v>-1873</v>
      </c>
      <c r="AW15" s="7">
        <v>-45023</v>
      </c>
      <c r="AX15" s="7">
        <v>25621</v>
      </c>
      <c r="AY15" s="7">
        <v>0</v>
      </c>
      <c r="AZ15" s="7">
        <v>-22695</v>
      </c>
      <c r="BA15" s="7">
        <v>2926</v>
      </c>
      <c r="BB15" s="7">
        <v>55946</v>
      </c>
      <c r="BC15" s="7">
        <v>207595</v>
      </c>
      <c r="BD15" s="7">
        <v>263541</v>
      </c>
      <c r="BE15" s="7">
        <v>33</v>
      </c>
      <c r="BF15" s="7">
        <v>60</v>
      </c>
      <c r="BG15" s="8">
        <v>6.85</v>
      </c>
      <c r="BH15" s="8">
        <v>35</v>
      </c>
      <c r="BI15" s="7">
        <v>23</v>
      </c>
      <c r="BJ15" s="7">
        <v>7</v>
      </c>
      <c r="BK15" s="8">
        <v>5</v>
      </c>
      <c r="BL15" s="6" t="s">
        <v>100</v>
      </c>
      <c r="BM15" s="6" t="s">
        <v>101</v>
      </c>
      <c r="BN15" s="6" t="s">
        <v>117</v>
      </c>
      <c r="BO15" s="6" t="s">
        <v>118</v>
      </c>
      <c r="BP15" s="6" t="s">
        <v>104</v>
      </c>
      <c r="BQ15" s="6" t="s">
        <v>105</v>
      </c>
      <c r="BR15" s="6" t="s">
        <v>119</v>
      </c>
      <c r="BS15" s="7">
        <v>2002</v>
      </c>
      <c r="BT15" s="6" t="s">
        <v>107</v>
      </c>
      <c r="BU15" s="6" t="s">
        <v>108</v>
      </c>
      <c r="BV15" s="6" t="s">
        <v>109</v>
      </c>
      <c r="BW15" s="6" t="s">
        <v>110</v>
      </c>
      <c r="BX15" s="6" t="s">
        <v>120</v>
      </c>
      <c r="BY15" s="7" t="b">
        <f t="shared" si="20"/>
        <v>1</v>
      </c>
      <c r="BZ15" s="7" t="b">
        <f t="shared" si="0"/>
        <v>1</v>
      </c>
      <c r="CA15" s="7" t="b">
        <f t="shared" si="1"/>
        <v>1</v>
      </c>
      <c r="CB15" s="7" t="b">
        <f t="shared" si="2"/>
        <v>1</v>
      </c>
      <c r="CC15" s="9" t="str">
        <f t="shared" si="3"/>
        <v/>
      </c>
      <c r="CD15" s="9">
        <f t="shared" si="4"/>
        <v>30.0312317790568</v>
      </c>
      <c r="CE15" s="9">
        <f t="shared" si="5"/>
        <v>13.8091801802322</v>
      </c>
      <c r="CF15" s="9">
        <f t="shared" si="6"/>
        <v>10.4812926839125</v>
      </c>
      <c r="CG15" s="9">
        <f t="shared" si="7"/>
        <v>2.46391463201391</v>
      </c>
      <c r="CH15" s="9">
        <f t="shared" si="8"/>
        <v>1.70405120606669</v>
      </c>
      <c r="CI15" s="9">
        <f t="shared" si="9"/>
        <v>18.888772574908</v>
      </c>
      <c r="CJ15" s="9">
        <f t="shared" si="10"/>
        <v>0.30702926704763</v>
      </c>
      <c r="CK15" s="9" t="str">
        <f t="shared" si="11"/>
        <v/>
      </c>
      <c r="CL15" s="9" t="str">
        <f t="shared" si="12"/>
        <v/>
      </c>
      <c r="CM15" s="9">
        <f t="shared" si="13"/>
        <v>1.08001850648278</v>
      </c>
      <c r="CN15" s="10">
        <f t="shared" si="14"/>
        <v>54738</v>
      </c>
      <c r="CO15" s="11" t="str">
        <f t="shared" si="15"/>
        <v/>
      </c>
      <c r="CP15" s="11" t="str">
        <f t="shared" si="16"/>
        <v/>
      </c>
      <c r="CQ15" s="11" t="str">
        <f t="shared" si="17"/>
        <v/>
      </c>
      <c r="CR15" s="9">
        <f t="shared" si="18"/>
        <v>10.8788430052756</v>
      </c>
      <c r="CS15" s="10">
        <f t="shared" si="19"/>
        <v>318135</v>
      </c>
    </row>
    <row r="16" spans="1:97">
      <c r="A16" s="6" t="s">
        <v>116</v>
      </c>
      <c r="B16" s="7">
        <v>2022</v>
      </c>
      <c r="C16" s="7">
        <v>929298</v>
      </c>
      <c r="D16" s="7">
        <v>646577</v>
      </c>
      <c r="E16" s="7">
        <v>282721</v>
      </c>
      <c r="F16" s="7">
        <v>70648</v>
      </c>
      <c r="G16" s="7">
        <v>53064</v>
      </c>
      <c r="H16" s="7">
        <v>26307</v>
      </c>
      <c r="I16" s="7">
        <v>132702</v>
      </c>
      <c r="J16" s="7">
        <v>4744</v>
      </c>
      <c r="K16" s="7">
        <v>13027</v>
      </c>
      <c r="L16" s="7">
        <v>-870</v>
      </c>
      <c r="M16" s="7">
        <v>123549</v>
      </c>
      <c r="N16" s="7">
        <v>24710</v>
      </c>
      <c r="O16" s="7">
        <v>98839</v>
      </c>
      <c r="P16" s="7">
        <v>308279</v>
      </c>
      <c r="Q16" s="7">
        <v>132393</v>
      </c>
      <c r="R16" s="7">
        <v>132858</v>
      </c>
      <c r="S16" s="7">
        <v>46745</v>
      </c>
      <c r="T16" s="7">
        <v>620275</v>
      </c>
      <c r="U16" s="7">
        <v>350025</v>
      </c>
      <c r="V16" s="7">
        <v>16158</v>
      </c>
      <c r="W16" s="7">
        <v>23261</v>
      </c>
      <c r="X16" s="7">
        <v>18113</v>
      </c>
      <c r="Y16" s="7">
        <v>1027832</v>
      </c>
      <c r="Z16" s="7">
        <v>68304</v>
      </c>
      <c r="AA16" s="7">
        <v>99201</v>
      </c>
      <c r="AB16" s="7">
        <v>70400</v>
      </c>
      <c r="AC16" s="7">
        <v>237905</v>
      </c>
      <c r="AD16" s="7">
        <v>126849</v>
      </c>
      <c r="AE16" s="7">
        <v>24765</v>
      </c>
      <c r="AF16" s="7">
        <v>389519</v>
      </c>
      <c r="AG16" s="7">
        <v>295200</v>
      </c>
      <c r="AH16" s="7">
        <v>314413</v>
      </c>
      <c r="AI16" s="7">
        <v>28700</v>
      </c>
      <c r="AJ16" s="7">
        <v>638313</v>
      </c>
      <c r="AK16" s="7">
        <v>1027832</v>
      </c>
      <c r="AL16" s="7">
        <v>-25613</v>
      </c>
      <c r="AM16" s="7">
        <v>-9997</v>
      </c>
      <c r="AN16" s="7">
        <v>-4474</v>
      </c>
      <c r="AO16" s="7">
        <v>6225</v>
      </c>
      <c r="AP16" s="7">
        <v>6685</v>
      </c>
      <c r="AQ16" s="7">
        <v>1803</v>
      </c>
      <c r="AR16" s="7">
        <v>99775</v>
      </c>
      <c r="AS16" s="7">
        <v>-46465</v>
      </c>
      <c r="AT16" s="7">
        <v>-1364</v>
      </c>
      <c r="AU16" s="7">
        <v>-2950</v>
      </c>
      <c r="AV16" s="7">
        <v>-1480</v>
      </c>
      <c r="AW16" s="7">
        <v>-52259</v>
      </c>
      <c r="AX16" s="7">
        <v>21932</v>
      </c>
      <c r="AY16" s="7">
        <v>0</v>
      </c>
      <c r="AZ16" s="7">
        <v>-24710</v>
      </c>
      <c r="BA16" s="7">
        <v>-2778</v>
      </c>
      <c r="BB16" s="7">
        <v>44738</v>
      </c>
      <c r="BC16" s="7">
        <v>263541</v>
      </c>
      <c r="BD16" s="7">
        <v>308279</v>
      </c>
      <c r="BE16" s="7">
        <v>46</v>
      </c>
      <c r="BF16" s="7">
        <v>61</v>
      </c>
      <c r="BG16" s="8">
        <v>7.07</v>
      </c>
      <c r="BH16" s="8">
        <v>35</v>
      </c>
      <c r="BI16" s="7">
        <v>12</v>
      </c>
      <c r="BJ16" s="7">
        <v>8</v>
      </c>
      <c r="BK16" s="8">
        <v>5</v>
      </c>
      <c r="BL16" s="6" t="s">
        <v>100</v>
      </c>
      <c r="BM16" s="6" t="s">
        <v>101</v>
      </c>
      <c r="BN16" s="6" t="s">
        <v>117</v>
      </c>
      <c r="BO16" s="6" t="s">
        <v>118</v>
      </c>
      <c r="BP16" s="6" t="s">
        <v>104</v>
      </c>
      <c r="BQ16" s="6" t="s">
        <v>105</v>
      </c>
      <c r="BR16" s="6" t="s">
        <v>119</v>
      </c>
      <c r="BS16" s="7">
        <v>2002</v>
      </c>
      <c r="BT16" s="6" t="s">
        <v>107</v>
      </c>
      <c r="BU16" s="6" t="s">
        <v>108</v>
      </c>
      <c r="BV16" s="6" t="s">
        <v>109</v>
      </c>
      <c r="BW16" s="6" t="s">
        <v>110</v>
      </c>
      <c r="BX16" s="6" t="s">
        <v>120</v>
      </c>
      <c r="BY16" s="7" t="b">
        <f t="shared" si="20"/>
        <v>1</v>
      </c>
      <c r="BZ16" s="7" t="b">
        <f t="shared" si="0"/>
        <v>1</v>
      </c>
      <c r="CA16" s="7" t="b">
        <f t="shared" si="1"/>
        <v>1</v>
      </c>
      <c r="CB16" s="7" t="b">
        <f t="shared" si="2"/>
        <v>1</v>
      </c>
      <c r="CC16" s="9">
        <f t="shared" si="3"/>
        <v>7.29622851732758</v>
      </c>
      <c r="CD16" s="9">
        <f t="shared" si="4"/>
        <v>30.4230720393243</v>
      </c>
      <c r="CE16" s="9">
        <f t="shared" si="5"/>
        <v>14.2798112123345</v>
      </c>
      <c r="CF16" s="9">
        <f t="shared" si="6"/>
        <v>10.6358778346666</v>
      </c>
      <c r="CG16" s="9">
        <f t="shared" si="7"/>
        <v>2.60723818330846</v>
      </c>
      <c r="CH16" s="9">
        <f t="shared" si="8"/>
        <v>1.8523023896093</v>
      </c>
      <c r="CI16" s="9">
        <f t="shared" si="9"/>
        <v>18.9868577744223</v>
      </c>
      <c r="CJ16" s="9">
        <f t="shared" si="10"/>
        <v>0.305732454140837</v>
      </c>
      <c r="CK16" s="9">
        <f t="shared" si="11"/>
        <v>10.1639681421571</v>
      </c>
      <c r="CL16" s="9">
        <f t="shared" si="12"/>
        <v>16.4389599308772</v>
      </c>
      <c r="CM16" s="9">
        <f t="shared" si="13"/>
        <v>1.00946994607392</v>
      </c>
      <c r="CN16" s="10">
        <f t="shared" si="14"/>
        <v>53310</v>
      </c>
      <c r="CO16" s="11">
        <f t="shared" si="15"/>
        <v>46.969941289016</v>
      </c>
      <c r="CP16" s="11">
        <f t="shared" si="16"/>
        <v>72.1781280497141</v>
      </c>
      <c r="CQ16" s="11">
        <f t="shared" si="17"/>
        <v>54.2430406587305</v>
      </c>
      <c r="CR16" s="9">
        <f t="shared" si="18"/>
        <v>10.1866891840025</v>
      </c>
      <c r="CS16" s="10">
        <f t="shared" si="19"/>
        <v>382370</v>
      </c>
    </row>
    <row r="17" spans="1:97">
      <c r="A17" s="6" t="s">
        <v>116</v>
      </c>
      <c r="B17" s="7">
        <v>2023</v>
      </c>
      <c r="C17" s="7">
        <v>1007413</v>
      </c>
      <c r="D17" s="7">
        <v>704218</v>
      </c>
      <c r="E17" s="7">
        <v>303195</v>
      </c>
      <c r="F17" s="7">
        <v>75070</v>
      </c>
      <c r="G17" s="7">
        <v>57096</v>
      </c>
      <c r="H17" s="7">
        <v>28902</v>
      </c>
      <c r="I17" s="7">
        <v>142127</v>
      </c>
      <c r="J17" s="7">
        <v>5549</v>
      </c>
      <c r="K17" s="7">
        <v>15309</v>
      </c>
      <c r="L17" s="7">
        <v>1826</v>
      </c>
      <c r="M17" s="7">
        <v>134193</v>
      </c>
      <c r="N17" s="7">
        <v>26839</v>
      </c>
      <c r="O17" s="7">
        <v>107354</v>
      </c>
      <c r="P17" s="7">
        <v>319808</v>
      </c>
      <c r="Q17" s="7">
        <v>193202</v>
      </c>
      <c r="R17" s="7">
        <v>146632</v>
      </c>
      <c r="S17" s="7">
        <v>50943</v>
      </c>
      <c r="T17" s="7">
        <v>710585</v>
      </c>
      <c r="U17" s="7">
        <v>371494</v>
      </c>
      <c r="V17" s="7">
        <v>18536</v>
      </c>
      <c r="W17" s="7">
        <v>25684</v>
      </c>
      <c r="X17" s="7">
        <v>16908</v>
      </c>
      <c r="Y17" s="7">
        <v>1143207</v>
      </c>
      <c r="Z17" s="7">
        <v>77571</v>
      </c>
      <c r="AA17" s="7">
        <v>106115</v>
      </c>
      <c r="AB17" s="7">
        <v>71840</v>
      </c>
      <c r="AC17" s="7">
        <v>255526</v>
      </c>
      <c r="AD17" s="7">
        <v>144060</v>
      </c>
      <c r="AE17" s="7">
        <v>24792</v>
      </c>
      <c r="AF17" s="7">
        <v>424378</v>
      </c>
      <c r="AG17" s="7">
        <v>295200</v>
      </c>
      <c r="AH17" s="7">
        <v>394929</v>
      </c>
      <c r="AI17" s="7">
        <v>28700</v>
      </c>
      <c r="AJ17" s="7">
        <v>718829</v>
      </c>
      <c r="AK17" s="7">
        <v>1143207</v>
      </c>
      <c r="AL17" s="7">
        <v>-60809</v>
      </c>
      <c r="AM17" s="7">
        <v>-13774</v>
      </c>
      <c r="AN17" s="7">
        <v>-4198</v>
      </c>
      <c r="AO17" s="7">
        <v>6914</v>
      </c>
      <c r="AP17" s="7">
        <v>1440</v>
      </c>
      <c r="AQ17" s="7">
        <v>27</v>
      </c>
      <c r="AR17" s="7">
        <v>65856</v>
      </c>
      <c r="AS17" s="7">
        <v>-50371</v>
      </c>
      <c r="AT17" s="7">
        <v>-2378</v>
      </c>
      <c r="AU17" s="7">
        <v>-2423</v>
      </c>
      <c r="AV17" s="7">
        <v>1205</v>
      </c>
      <c r="AW17" s="7">
        <v>-53967</v>
      </c>
      <c r="AX17" s="7">
        <v>26478</v>
      </c>
      <c r="AY17" s="7">
        <v>0</v>
      </c>
      <c r="AZ17" s="7">
        <v>-26838</v>
      </c>
      <c r="BA17" s="7">
        <v>-360</v>
      </c>
      <c r="BB17" s="7">
        <v>11529</v>
      </c>
      <c r="BC17" s="7">
        <v>308279</v>
      </c>
      <c r="BD17" s="7">
        <v>319808</v>
      </c>
      <c r="BE17" s="7">
        <v>63</v>
      </c>
      <c r="BF17" s="7">
        <v>71</v>
      </c>
      <c r="BG17" s="8">
        <v>7.35</v>
      </c>
      <c r="BH17" s="8">
        <v>35</v>
      </c>
      <c r="BI17" s="7">
        <v>23</v>
      </c>
      <c r="BJ17" s="7">
        <v>10</v>
      </c>
      <c r="BK17" s="8">
        <v>5</v>
      </c>
      <c r="BL17" s="6" t="s">
        <v>100</v>
      </c>
      <c r="BM17" s="6" t="s">
        <v>101</v>
      </c>
      <c r="BN17" s="6" t="s">
        <v>117</v>
      </c>
      <c r="BO17" s="6" t="s">
        <v>118</v>
      </c>
      <c r="BP17" s="6" t="s">
        <v>104</v>
      </c>
      <c r="BQ17" s="6" t="s">
        <v>105</v>
      </c>
      <c r="BR17" s="6" t="s">
        <v>119</v>
      </c>
      <c r="BS17" s="7">
        <v>2002</v>
      </c>
      <c r="BT17" s="6" t="s">
        <v>107</v>
      </c>
      <c r="BU17" s="6" t="s">
        <v>108</v>
      </c>
      <c r="BV17" s="6" t="s">
        <v>109</v>
      </c>
      <c r="BW17" s="6" t="s">
        <v>110</v>
      </c>
      <c r="BX17" s="6" t="s">
        <v>120</v>
      </c>
      <c r="BY17" s="7" t="b">
        <f t="shared" si="20"/>
        <v>1</v>
      </c>
      <c r="BZ17" s="7" t="b">
        <f t="shared" si="0"/>
        <v>1</v>
      </c>
      <c r="CA17" s="7" t="b">
        <f t="shared" si="1"/>
        <v>1</v>
      </c>
      <c r="CB17" s="7" t="b">
        <f t="shared" si="2"/>
        <v>1</v>
      </c>
      <c r="CC17" s="9">
        <f t="shared" si="3"/>
        <v>8.40580739439878</v>
      </c>
      <c r="CD17" s="9">
        <f t="shared" si="4"/>
        <v>30.096395420746</v>
      </c>
      <c r="CE17" s="9">
        <f t="shared" si="5"/>
        <v>14.1081165321472</v>
      </c>
      <c r="CF17" s="9">
        <f t="shared" si="6"/>
        <v>10.6564040765803</v>
      </c>
      <c r="CG17" s="9">
        <f t="shared" si="7"/>
        <v>2.78087161384751</v>
      </c>
      <c r="CH17" s="9">
        <f t="shared" si="8"/>
        <v>2.00766262532971</v>
      </c>
      <c r="CI17" s="9">
        <f t="shared" si="9"/>
        <v>19.3867777226696</v>
      </c>
      <c r="CJ17" s="9">
        <f t="shared" si="10"/>
        <v>0.308322285272297</v>
      </c>
      <c r="CK17" s="9">
        <f t="shared" si="11"/>
        <v>9.88964270102932</v>
      </c>
      <c r="CL17" s="9">
        <f t="shared" si="12"/>
        <v>15.8205994656418</v>
      </c>
      <c r="CM17" s="9">
        <f t="shared" si="13"/>
        <v>0.613447100247778</v>
      </c>
      <c r="CN17" s="10">
        <f t="shared" si="14"/>
        <v>15485</v>
      </c>
      <c r="CO17" s="11">
        <f t="shared" si="15"/>
        <v>58.983840291916</v>
      </c>
      <c r="CP17" s="11">
        <f t="shared" si="16"/>
        <v>72.4305896753562</v>
      </c>
      <c r="CQ17" s="11">
        <f t="shared" si="17"/>
        <v>53.2081968935756</v>
      </c>
      <c r="CR17" s="9">
        <f t="shared" si="18"/>
        <v>9.28388529623098</v>
      </c>
      <c r="CS17" s="10">
        <f t="shared" si="19"/>
        <v>455059</v>
      </c>
    </row>
    <row r="18" spans="1:97">
      <c r="A18" s="6" t="s">
        <v>116</v>
      </c>
      <c r="B18" s="7">
        <v>2024</v>
      </c>
      <c r="C18" s="7">
        <v>1093833</v>
      </c>
      <c r="D18" s="7">
        <v>761644</v>
      </c>
      <c r="E18" s="7">
        <v>332189</v>
      </c>
      <c r="F18" s="7">
        <v>82195</v>
      </c>
      <c r="G18" s="7">
        <v>61895</v>
      </c>
      <c r="H18" s="7">
        <v>30185</v>
      </c>
      <c r="I18" s="7">
        <v>157914</v>
      </c>
      <c r="J18" s="7">
        <v>5757</v>
      </c>
      <c r="K18" s="7">
        <v>17941</v>
      </c>
      <c r="L18" s="7">
        <v>1442</v>
      </c>
      <c r="M18" s="7">
        <v>147172</v>
      </c>
      <c r="N18" s="7">
        <v>29434</v>
      </c>
      <c r="O18" s="7">
        <v>117738</v>
      </c>
      <c r="P18" s="7">
        <v>334033</v>
      </c>
      <c r="Q18" s="7">
        <v>284696</v>
      </c>
      <c r="R18" s="7">
        <v>160676</v>
      </c>
      <c r="S18" s="7">
        <v>52117</v>
      </c>
      <c r="T18" s="7">
        <v>831522</v>
      </c>
      <c r="U18" s="7">
        <v>396001</v>
      </c>
      <c r="V18" s="7">
        <v>19773</v>
      </c>
      <c r="W18" s="7">
        <v>25575</v>
      </c>
      <c r="X18" s="7">
        <v>18569</v>
      </c>
      <c r="Y18" s="7">
        <v>1291440</v>
      </c>
      <c r="Z18" s="7">
        <v>91882</v>
      </c>
      <c r="AA18" s="7">
        <v>112682</v>
      </c>
      <c r="AB18" s="7">
        <v>82224</v>
      </c>
      <c r="AC18" s="7">
        <v>286788</v>
      </c>
      <c r="AD18" s="7">
        <v>170638</v>
      </c>
      <c r="AE18" s="7">
        <v>26881</v>
      </c>
      <c r="AF18" s="7">
        <v>484307</v>
      </c>
      <c r="AG18" s="7">
        <v>295200</v>
      </c>
      <c r="AH18" s="7">
        <v>483233</v>
      </c>
      <c r="AI18" s="7">
        <v>28700</v>
      </c>
      <c r="AJ18" s="7">
        <v>807133</v>
      </c>
      <c r="AK18" s="7">
        <v>1291440</v>
      </c>
      <c r="AL18" s="7">
        <v>-91494</v>
      </c>
      <c r="AM18" s="7">
        <v>-14044</v>
      </c>
      <c r="AN18" s="7">
        <v>-1174</v>
      </c>
      <c r="AO18" s="7">
        <v>6567</v>
      </c>
      <c r="AP18" s="7">
        <v>10384</v>
      </c>
      <c r="AQ18" s="7">
        <v>2089</v>
      </c>
      <c r="AR18" s="7">
        <v>60251</v>
      </c>
      <c r="AS18" s="7">
        <v>-54692</v>
      </c>
      <c r="AT18" s="7">
        <v>-1237</v>
      </c>
      <c r="AU18" s="7">
        <v>109</v>
      </c>
      <c r="AV18" s="7">
        <v>-1661</v>
      </c>
      <c r="AW18" s="7">
        <v>-57481</v>
      </c>
      <c r="AX18" s="7">
        <v>40889</v>
      </c>
      <c r="AY18" s="7">
        <v>0</v>
      </c>
      <c r="AZ18" s="7">
        <v>-29434</v>
      </c>
      <c r="BA18" s="7">
        <v>11455</v>
      </c>
      <c r="BB18" s="7">
        <v>14225</v>
      </c>
      <c r="BC18" s="7">
        <v>319808</v>
      </c>
      <c r="BD18" s="7">
        <v>334033</v>
      </c>
      <c r="BE18" s="7">
        <v>85</v>
      </c>
      <c r="BF18" s="7">
        <v>72</v>
      </c>
      <c r="BG18" s="8">
        <v>7.41</v>
      </c>
      <c r="BH18" s="8">
        <v>35</v>
      </c>
      <c r="BI18" s="7">
        <v>22</v>
      </c>
      <c r="BJ18" s="7">
        <v>4</v>
      </c>
      <c r="BK18" s="8">
        <v>5</v>
      </c>
      <c r="BL18" s="6" t="s">
        <v>100</v>
      </c>
      <c r="BM18" s="6" t="s">
        <v>101</v>
      </c>
      <c r="BN18" s="6" t="s">
        <v>117</v>
      </c>
      <c r="BO18" s="6" t="s">
        <v>118</v>
      </c>
      <c r="BP18" s="6" t="s">
        <v>104</v>
      </c>
      <c r="BQ18" s="6" t="s">
        <v>105</v>
      </c>
      <c r="BR18" s="6" t="s">
        <v>119</v>
      </c>
      <c r="BS18" s="7">
        <v>2002</v>
      </c>
      <c r="BT18" s="6" t="s">
        <v>107</v>
      </c>
      <c r="BU18" s="6" t="s">
        <v>108</v>
      </c>
      <c r="BV18" s="6" t="s">
        <v>109</v>
      </c>
      <c r="BW18" s="6" t="s">
        <v>110</v>
      </c>
      <c r="BX18" s="6" t="s">
        <v>120</v>
      </c>
      <c r="BY18" s="7" t="b">
        <f t="shared" si="20"/>
        <v>1</v>
      </c>
      <c r="BZ18" s="7" t="b">
        <f t="shared" si="0"/>
        <v>1</v>
      </c>
      <c r="CA18" s="7" t="b">
        <f t="shared" si="1"/>
        <v>1</v>
      </c>
      <c r="CB18" s="7" t="b">
        <f t="shared" si="2"/>
        <v>1</v>
      </c>
      <c r="CC18" s="9">
        <f t="shared" si="3"/>
        <v>8.57840825957179</v>
      </c>
      <c r="CD18" s="9">
        <f t="shared" si="4"/>
        <v>30.3692611212132</v>
      </c>
      <c r="CE18" s="9">
        <f t="shared" si="5"/>
        <v>14.4367558850391</v>
      </c>
      <c r="CF18" s="9">
        <f t="shared" si="6"/>
        <v>10.7638003241811</v>
      </c>
      <c r="CG18" s="9">
        <f t="shared" si="7"/>
        <v>2.89943093853299</v>
      </c>
      <c r="CH18" s="9">
        <f t="shared" si="8"/>
        <v>2.15744382610151</v>
      </c>
      <c r="CI18" s="9">
        <f t="shared" si="9"/>
        <v>20.3276962150777</v>
      </c>
      <c r="CJ18" s="9">
        <f t="shared" si="10"/>
        <v>0.325249989778636</v>
      </c>
      <c r="CK18" s="9">
        <f t="shared" si="11"/>
        <v>9.67187440314756</v>
      </c>
      <c r="CL18" s="9">
        <f t="shared" si="12"/>
        <v>15.431314803383</v>
      </c>
      <c r="CM18" s="9">
        <f t="shared" si="13"/>
        <v>0.511737926582752</v>
      </c>
      <c r="CN18" s="10">
        <f t="shared" si="14"/>
        <v>5559</v>
      </c>
      <c r="CO18" s="11">
        <f t="shared" si="15"/>
        <v>79.7346441367192</v>
      </c>
      <c r="CP18" s="11">
        <f t="shared" si="16"/>
        <v>73.6350709780422</v>
      </c>
      <c r="CQ18" s="11">
        <f t="shared" si="17"/>
        <v>52.426661931296</v>
      </c>
      <c r="CR18" s="9">
        <f t="shared" si="18"/>
        <v>8.80185051000502</v>
      </c>
      <c r="CS18" s="10">
        <f t="shared" si="19"/>
        <v>544734</v>
      </c>
    </row>
    <row r="19" spans="1:97">
      <c r="A19" s="6" t="s">
        <v>116</v>
      </c>
      <c r="B19" s="7">
        <v>2025</v>
      </c>
      <c r="C19" s="7">
        <v>1175629</v>
      </c>
      <c r="D19" s="7">
        <v>823761</v>
      </c>
      <c r="E19" s="7">
        <v>351868</v>
      </c>
      <c r="F19" s="7">
        <v>91018</v>
      </c>
      <c r="G19" s="7">
        <v>66524</v>
      </c>
      <c r="H19" s="7">
        <v>32460</v>
      </c>
      <c r="I19" s="7">
        <v>161866</v>
      </c>
      <c r="J19" s="7">
        <v>6013</v>
      </c>
      <c r="K19" s="7">
        <v>22436</v>
      </c>
      <c r="L19" s="7">
        <v>3344</v>
      </c>
      <c r="M19" s="7">
        <v>148787</v>
      </c>
      <c r="N19" s="7">
        <v>29757</v>
      </c>
      <c r="O19" s="7">
        <v>119030</v>
      </c>
      <c r="P19" s="7">
        <v>319053</v>
      </c>
      <c r="Q19" s="7">
        <v>402613</v>
      </c>
      <c r="R19" s="7">
        <v>176037</v>
      </c>
      <c r="S19" s="7">
        <v>54800</v>
      </c>
      <c r="T19" s="7">
        <v>952503</v>
      </c>
      <c r="U19" s="7">
        <v>422322</v>
      </c>
      <c r="V19" s="7">
        <v>21904</v>
      </c>
      <c r="W19" s="7">
        <v>30225</v>
      </c>
      <c r="X19" s="7">
        <v>22804</v>
      </c>
      <c r="Y19" s="7">
        <v>1449758</v>
      </c>
      <c r="Z19" s="7">
        <v>111097</v>
      </c>
      <c r="AA19" s="7">
        <v>119615</v>
      </c>
      <c r="AB19" s="7">
        <v>88091</v>
      </c>
      <c r="AC19" s="7">
        <v>318803</v>
      </c>
      <c r="AD19" s="7">
        <v>206323</v>
      </c>
      <c r="AE19" s="7">
        <v>28227</v>
      </c>
      <c r="AF19" s="7">
        <v>553353</v>
      </c>
      <c r="AG19" s="7">
        <v>295200</v>
      </c>
      <c r="AH19" s="7">
        <v>572505</v>
      </c>
      <c r="AI19" s="7">
        <v>28700</v>
      </c>
      <c r="AJ19" s="7">
        <v>896405</v>
      </c>
      <c r="AK19" s="7">
        <v>1449758</v>
      </c>
      <c r="AL19" s="7">
        <v>-117917</v>
      </c>
      <c r="AM19" s="7">
        <v>-15361</v>
      </c>
      <c r="AN19" s="7">
        <v>-2683</v>
      </c>
      <c r="AO19" s="7">
        <v>6933</v>
      </c>
      <c r="AP19" s="7">
        <v>5867</v>
      </c>
      <c r="AQ19" s="7">
        <v>1346</v>
      </c>
      <c r="AR19" s="7">
        <v>29675</v>
      </c>
      <c r="AS19" s="7">
        <v>-58781</v>
      </c>
      <c r="AT19" s="7">
        <v>-2131</v>
      </c>
      <c r="AU19" s="7">
        <v>-4650</v>
      </c>
      <c r="AV19" s="7">
        <v>-4235</v>
      </c>
      <c r="AW19" s="7">
        <v>-69797</v>
      </c>
      <c r="AX19" s="7">
        <v>54900</v>
      </c>
      <c r="AY19" s="7">
        <v>0</v>
      </c>
      <c r="AZ19" s="7">
        <v>-29758</v>
      </c>
      <c r="BA19" s="7">
        <v>25142</v>
      </c>
      <c r="BB19" s="7">
        <v>-14980</v>
      </c>
      <c r="BC19" s="7">
        <v>334033</v>
      </c>
      <c r="BD19" s="7">
        <v>319053</v>
      </c>
      <c r="BE19" s="7">
        <v>113</v>
      </c>
      <c r="BF19" s="7">
        <v>72</v>
      </c>
      <c r="BG19" s="8">
        <v>7.74</v>
      </c>
      <c r="BH19" s="8">
        <v>35</v>
      </c>
      <c r="BI19" s="7">
        <v>21</v>
      </c>
      <c r="BJ19" s="7">
        <v>25</v>
      </c>
      <c r="BK19" s="8">
        <v>5</v>
      </c>
      <c r="BL19" s="6" t="s">
        <v>100</v>
      </c>
      <c r="BM19" s="6" t="s">
        <v>101</v>
      </c>
      <c r="BN19" s="6" t="s">
        <v>117</v>
      </c>
      <c r="BO19" s="6" t="s">
        <v>118</v>
      </c>
      <c r="BP19" s="6" t="s">
        <v>104</v>
      </c>
      <c r="BQ19" s="6" t="s">
        <v>105</v>
      </c>
      <c r="BR19" s="6" t="s">
        <v>119</v>
      </c>
      <c r="BS19" s="7">
        <v>2002</v>
      </c>
      <c r="BT19" s="6" t="s">
        <v>107</v>
      </c>
      <c r="BU19" s="6" t="s">
        <v>108</v>
      </c>
      <c r="BV19" s="6" t="s">
        <v>109</v>
      </c>
      <c r="BW19" s="6" t="s">
        <v>110</v>
      </c>
      <c r="BX19" s="6" t="s">
        <v>120</v>
      </c>
      <c r="BY19" s="7" t="b">
        <f t="shared" si="20"/>
        <v>1</v>
      </c>
      <c r="BZ19" s="7" t="b">
        <f t="shared" si="0"/>
        <v>1</v>
      </c>
      <c r="CA19" s="7" t="b">
        <f t="shared" si="1"/>
        <v>1</v>
      </c>
      <c r="CB19" s="7" t="b">
        <f t="shared" si="2"/>
        <v>1</v>
      </c>
      <c r="CC19" s="9">
        <f t="shared" si="3"/>
        <v>7.47792396097028</v>
      </c>
      <c r="CD19" s="9">
        <f t="shared" si="4"/>
        <v>29.9301905618184</v>
      </c>
      <c r="CE19" s="9">
        <f t="shared" si="5"/>
        <v>13.7684592673369</v>
      </c>
      <c r="CF19" s="9">
        <f t="shared" si="6"/>
        <v>10.1247927705084</v>
      </c>
      <c r="CG19" s="9">
        <f t="shared" si="7"/>
        <v>2.98774791956161</v>
      </c>
      <c r="CH19" s="9">
        <f t="shared" si="8"/>
        <v>2.26367380482618</v>
      </c>
      <c r="CI19" s="9">
        <f t="shared" si="9"/>
        <v>21.8946886307922</v>
      </c>
      <c r="CJ19" s="9">
        <f t="shared" si="10"/>
        <v>0.354103334988091</v>
      </c>
      <c r="CK19" s="9">
        <f t="shared" si="11"/>
        <v>8.68452406575519</v>
      </c>
      <c r="CL19" s="9">
        <f t="shared" si="12"/>
        <v>13.9744461233034</v>
      </c>
      <c r="CM19" s="9">
        <f t="shared" si="13"/>
        <v>0.249306897420818</v>
      </c>
      <c r="CN19" s="10">
        <f t="shared" si="14"/>
        <v>-29106</v>
      </c>
      <c r="CO19" s="11">
        <f t="shared" si="15"/>
        <v>106.695132988383</v>
      </c>
      <c r="CP19" s="11">
        <f t="shared" si="16"/>
        <v>74.5970281428715</v>
      </c>
      <c r="CQ19" s="11">
        <f t="shared" si="17"/>
        <v>51.4642019954817</v>
      </c>
      <c r="CR19" s="9">
        <f t="shared" si="18"/>
        <v>7.21456587627028</v>
      </c>
      <c r="CS19" s="10">
        <f t="shared" si="19"/>
        <v>633700</v>
      </c>
    </row>
    <row r="20" spans="1:97">
      <c r="A20" s="6" t="s">
        <v>121</v>
      </c>
      <c r="B20" s="7">
        <v>2021</v>
      </c>
      <c r="C20" s="7">
        <v>812368</v>
      </c>
      <c r="D20" s="7">
        <v>559197</v>
      </c>
      <c r="E20" s="7">
        <v>253171</v>
      </c>
      <c r="F20" s="7">
        <v>61819</v>
      </c>
      <c r="G20" s="7">
        <v>44953</v>
      </c>
      <c r="H20" s="7">
        <v>23477</v>
      </c>
      <c r="I20" s="7">
        <v>122922</v>
      </c>
      <c r="J20" s="7">
        <v>3265</v>
      </c>
      <c r="K20" s="7">
        <v>10517</v>
      </c>
      <c r="L20" s="7">
        <v>-325</v>
      </c>
      <c r="M20" s="7">
        <v>115345</v>
      </c>
      <c r="N20" s="7">
        <v>23069</v>
      </c>
      <c r="O20" s="7">
        <v>92276</v>
      </c>
      <c r="P20" s="7">
        <v>235696</v>
      </c>
      <c r="Q20" s="7">
        <v>104606</v>
      </c>
      <c r="R20" s="7">
        <v>119500</v>
      </c>
      <c r="S20" s="7">
        <v>38690</v>
      </c>
      <c r="T20" s="7">
        <v>498492</v>
      </c>
      <c r="U20" s="7">
        <v>307566</v>
      </c>
      <c r="V20" s="7">
        <v>15037</v>
      </c>
      <c r="W20" s="7">
        <v>19695</v>
      </c>
      <c r="X20" s="7">
        <v>14892</v>
      </c>
      <c r="Y20" s="7">
        <v>855682</v>
      </c>
      <c r="Z20" s="7">
        <v>56866</v>
      </c>
      <c r="AA20" s="7">
        <v>84263</v>
      </c>
      <c r="AB20" s="7">
        <v>57329</v>
      </c>
      <c r="AC20" s="7">
        <v>198458</v>
      </c>
      <c r="AD20" s="7">
        <v>105608</v>
      </c>
      <c r="AE20" s="7">
        <v>22609</v>
      </c>
      <c r="AF20" s="7">
        <v>326675</v>
      </c>
      <c r="AG20" s="7">
        <v>273600</v>
      </c>
      <c r="AH20" s="7">
        <v>228807</v>
      </c>
      <c r="AI20" s="7">
        <v>26600</v>
      </c>
      <c r="AJ20" s="7">
        <v>529007</v>
      </c>
      <c r="AK20" s="7">
        <v>855682</v>
      </c>
      <c r="AL20" s="7">
        <v>-12990</v>
      </c>
      <c r="AM20" s="7">
        <v>-14620</v>
      </c>
      <c r="AN20" s="7">
        <v>-690</v>
      </c>
      <c r="AO20" s="7">
        <v>8117</v>
      </c>
      <c r="AP20" s="7">
        <v>329</v>
      </c>
      <c r="AQ20" s="7">
        <v>1329</v>
      </c>
      <c r="AR20" s="7">
        <v>97228</v>
      </c>
      <c r="AS20" s="7">
        <v>-42243</v>
      </c>
      <c r="AT20" s="7">
        <v>-1357</v>
      </c>
      <c r="AU20" s="7">
        <v>-695</v>
      </c>
      <c r="AV20" s="7">
        <v>-1212</v>
      </c>
      <c r="AW20" s="7">
        <v>-45507</v>
      </c>
      <c r="AX20" s="7">
        <v>25674</v>
      </c>
      <c r="AY20" s="7">
        <v>0</v>
      </c>
      <c r="AZ20" s="7">
        <v>-23069</v>
      </c>
      <c r="BA20" s="7">
        <v>2605</v>
      </c>
      <c r="BB20" s="7">
        <v>54326</v>
      </c>
      <c r="BC20" s="7">
        <v>181370</v>
      </c>
      <c r="BD20" s="7">
        <v>235696</v>
      </c>
      <c r="BE20" s="7">
        <v>40</v>
      </c>
      <c r="BF20" s="7">
        <v>71</v>
      </c>
      <c r="BG20" s="8">
        <v>7.03</v>
      </c>
      <c r="BH20" s="8">
        <v>35</v>
      </c>
      <c r="BI20" s="7">
        <v>17</v>
      </c>
      <c r="BJ20" s="7">
        <v>11</v>
      </c>
      <c r="BK20" s="8">
        <v>5.2</v>
      </c>
      <c r="BL20" s="6" t="s">
        <v>100</v>
      </c>
      <c r="BM20" s="6" t="s">
        <v>101</v>
      </c>
      <c r="BN20" s="6" t="s">
        <v>122</v>
      </c>
      <c r="BO20" s="6" t="s">
        <v>123</v>
      </c>
      <c r="BP20" s="6" t="s">
        <v>104</v>
      </c>
      <c r="BQ20" s="6" t="s">
        <v>105</v>
      </c>
      <c r="BR20" s="6" t="s">
        <v>124</v>
      </c>
      <c r="BS20" s="7">
        <v>2004</v>
      </c>
      <c r="BT20" s="6" t="s">
        <v>107</v>
      </c>
      <c r="BU20" s="6" t="s">
        <v>108</v>
      </c>
      <c r="BV20" s="6" t="s">
        <v>109</v>
      </c>
      <c r="BW20" s="6" t="s">
        <v>110</v>
      </c>
      <c r="BX20" s="6" t="s">
        <v>120</v>
      </c>
      <c r="BY20" s="7" t="b">
        <f t="shared" si="20"/>
        <v>1</v>
      </c>
      <c r="BZ20" s="7" t="b">
        <f t="shared" si="0"/>
        <v>1</v>
      </c>
      <c r="CA20" s="7" t="b">
        <f t="shared" si="1"/>
        <v>1</v>
      </c>
      <c r="CB20" s="7" t="b">
        <f t="shared" si="2"/>
        <v>1</v>
      </c>
      <c r="CC20" s="9" t="str">
        <f t="shared" si="3"/>
        <v/>
      </c>
      <c r="CD20" s="9">
        <f t="shared" si="4"/>
        <v>31.164570736415</v>
      </c>
      <c r="CE20" s="9">
        <f t="shared" si="5"/>
        <v>15.1313197959545</v>
      </c>
      <c r="CF20" s="9">
        <f t="shared" si="6"/>
        <v>11.3588915368404</v>
      </c>
      <c r="CG20" s="9">
        <f t="shared" si="7"/>
        <v>2.51182617984662</v>
      </c>
      <c r="CH20" s="9">
        <f t="shared" si="8"/>
        <v>1.71473057271564</v>
      </c>
      <c r="CI20" s="9">
        <f t="shared" si="9"/>
        <v>18.9876613040826</v>
      </c>
      <c r="CJ20" s="9">
        <f t="shared" si="10"/>
        <v>0.307130151396862</v>
      </c>
      <c r="CK20" s="9" t="str">
        <f t="shared" si="11"/>
        <v/>
      </c>
      <c r="CL20" s="9" t="str">
        <f t="shared" si="12"/>
        <v/>
      </c>
      <c r="CM20" s="9">
        <f t="shared" si="13"/>
        <v>1.05366509168148</v>
      </c>
      <c r="CN20" s="10">
        <f t="shared" si="14"/>
        <v>54985</v>
      </c>
      <c r="CO20" s="11" t="str">
        <f t="shared" si="15"/>
        <v/>
      </c>
      <c r="CP20" s="11" t="str">
        <f t="shared" si="16"/>
        <v/>
      </c>
      <c r="CQ20" s="11" t="str">
        <f t="shared" si="17"/>
        <v/>
      </c>
      <c r="CR20" s="9">
        <f t="shared" si="18"/>
        <v>11.687933821432</v>
      </c>
      <c r="CS20" s="10">
        <f t="shared" si="19"/>
        <v>300034</v>
      </c>
    </row>
    <row r="21" spans="1:97">
      <c r="A21" s="6" t="s">
        <v>121</v>
      </c>
      <c r="B21" s="7">
        <v>2022</v>
      </c>
      <c r="C21" s="7">
        <v>858516</v>
      </c>
      <c r="D21" s="7">
        <v>592652</v>
      </c>
      <c r="E21" s="7">
        <v>265864</v>
      </c>
      <c r="F21" s="7">
        <v>66875</v>
      </c>
      <c r="G21" s="7">
        <v>47659</v>
      </c>
      <c r="H21" s="7">
        <v>23250</v>
      </c>
      <c r="I21" s="7">
        <v>128080</v>
      </c>
      <c r="J21" s="7">
        <v>4243</v>
      </c>
      <c r="K21" s="7">
        <v>12587</v>
      </c>
      <c r="L21" s="7">
        <v>2185</v>
      </c>
      <c r="M21" s="7">
        <v>121921</v>
      </c>
      <c r="N21" s="7">
        <v>24384</v>
      </c>
      <c r="O21" s="7">
        <v>97537</v>
      </c>
      <c r="P21" s="7">
        <v>293392</v>
      </c>
      <c r="Q21" s="7">
        <v>112901</v>
      </c>
      <c r="R21" s="7">
        <v>138015</v>
      </c>
      <c r="S21" s="7">
        <v>42617</v>
      </c>
      <c r="T21" s="7">
        <v>586925</v>
      </c>
      <c r="U21" s="7">
        <v>328959</v>
      </c>
      <c r="V21" s="7">
        <v>15057</v>
      </c>
      <c r="W21" s="7">
        <v>20637</v>
      </c>
      <c r="X21" s="7">
        <v>15525</v>
      </c>
      <c r="Y21" s="7">
        <v>967103</v>
      </c>
      <c r="Z21" s="7">
        <v>66106</v>
      </c>
      <c r="AA21" s="7">
        <v>89304</v>
      </c>
      <c r="AB21" s="7">
        <v>62805</v>
      </c>
      <c r="AC21" s="7">
        <v>218215</v>
      </c>
      <c r="AD21" s="7">
        <v>122768</v>
      </c>
      <c r="AE21" s="7">
        <v>23960</v>
      </c>
      <c r="AF21" s="7">
        <v>364943</v>
      </c>
      <c r="AG21" s="7">
        <v>273600</v>
      </c>
      <c r="AH21" s="7">
        <v>301960</v>
      </c>
      <c r="AI21" s="7">
        <v>26600</v>
      </c>
      <c r="AJ21" s="7">
        <v>602160</v>
      </c>
      <c r="AK21" s="7">
        <v>967103</v>
      </c>
      <c r="AL21" s="7">
        <v>-8295</v>
      </c>
      <c r="AM21" s="7">
        <v>-18515</v>
      </c>
      <c r="AN21" s="7">
        <v>-3927</v>
      </c>
      <c r="AO21" s="7">
        <v>5041</v>
      </c>
      <c r="AP21" s="7">
        <v>5476</v>
      </c>
      <c r="AQ21" s="7">
        <v>1351</v>
      </c>
      <c r="AR21" s="7">
        <v>101918</v>
      </c>
      <c r="AS21" s="7">
        <v>-44643</v>
      </c>
      <c r="AT21" s="7">
        <v>-20</v>
      </c>
      <c r="AU21" s="7">
        <v>-942</v>
      </c>
      <c r="AV21" s="7">
        <v>-633</v>
      </c>
      <c r="AW21" s="7">
        <v>-46238</v>
      </c>
      <c r="AX21" s="7">
        <v>26400</v>
      </c>
      <c r="AY21" s="7">
        <v>0</v>
      </c>
      <c r="AZ21" s="7">
        <v>-24384</v>
      </c>
      <c r="BA21" s="7">
        <v>2016</v>
      </c>
      <c r="BB21" s="7">
        <v>57696</v>
      </c>
      <c r="BC21" s="7">
        <v>235696</v>
      </c>
      <c r="BD21" s="7">
        <v>293392</v>
      </c>
      <c r="BE21" s="7">
        <v>44</v>
      </c>
      <c r="BF21" s="7">
        <v>77</v>
      </c>
      <c r="BG21" s="8">
        <v>7.17</v>
      </c>
      <c r="BH21" s="8">
        <v>35</v>
      </c>
      <c r="BI21" s="7">
        <v>17</v>
      </c>
      <c r="BJ21" s="7">
        <v>9</v>
      </c>
      <c r="BK21" s="8">
        <v>5.2</v>
      </c>
      <c r="BL21" s="6" t="s">
        <v>100</v>
      </c>
      <c r="BM21" s="6" t="s">
        <v>101</v>
      </c>
      <c r="BN21" s="6" t="s">
        <v>122</v>
      </c>
      <c r="BO21" s="6" t="s">
        <v>123</v>
      </c>
      <c r="BP21" s="6" t="s">
        <v>104</v>
      </c>
      <c r="BQ21" s="6" t="s">
        <v>105</v>
      </c>
      <c r="BR21" s="6" t="s">
        <v>124</v>
      </c>
      <c r="BS21" s="7">
        <v>2004</v>
      </c>
      <c r="BT21" s="6" t="s">
        <v>107</v>
      </c>
      <c r="BU21" s="6" t="s">
        <v>108</v>
      </c>
      <c r="BV21" s="6" t="s">
        <v>109</v>
      </c>
      <c r="BW21" s="6" t="s">
        <v>110</v>
      </c>
      <c r="BX21" s="6" t="s">
        <v>120</v>
      </c>
      <c r="BY21" s="7" t="b">
        <f t="shared" si="20"/>
        <v>1</v>
      </c>
      <c r="BZ21" s="7" t="b">
        <f t="shared" si="0"/>
        <v>1</v>
      </c>
      <c r="CA21" s="7" t="b">
        <f t="shared" si="1"/>
        <v>1</v>
      </c>
      <c r="CB21" s="7" t="b">
        <f t="shared" si="2"/>
        <v>1</v>
      </c>
      <c r="CC21" s="9">
        <f t="shared" si="3"/>
        <v>5.68067673763615</v>
      </c>
      <c r="CD21" s="9">
        <f t="shared" si="4"/>
        <v>30.9678561610966</v>
      </c>
      <c r="CE21" s="9">
        <f t="shared" si="5"/>
        <v>14.9187668022495</v>
      </c>
      <c r="CF21" s="9">
        <f t="shared" si="6"/>
        <v>11.3611161585806</v>
      </c>
      <c r="CG21" s="9">
        <f t="shared" si="7"/>
        <v>2.68966386362074</v>
      </c>
      <c r="CH21" s="9">
        <f t="shared" si="8"/>
        <v>1.861893087093</v>
      </c>
      <c r="CI21" s="9">
        <f t="shared" si="9"/>
        <v>19.5298742739915</v>
      </c>
      <c r="CJ21" s="9">
        <f t="shared" si="10"/>
        <v>0.313660821044241</v>
      </c>
      <c r="CK21" s="9">
        <f t="shared" si="11"/>
        <v>10.7019752740998</v>
      </c>
      <c r="CL21" s="9">
        <f t="shared" si="12"/>
        <v>17.2453757933179</v>
      </c>
      <c r="CM21" s="9">
        <f t="shared" si="13"/>
        <v>1.04491628817782</v>
      </c>
      <c r="CN21" s="10">
        <f t="shared" si="14"/>
        <v>57275</v>
      </c>
      <c r="CO21" s="11">
        <f t="shared" si="15"/>
        <v>46.2367940725624</v>
      </c>
      <c r="CP21" s="11">
        <f t="shared" si="16"/>
        <v>79.2986229692973</v>
      </c>
      <c r="CQ21" s="11">
        <f t="shared" si="17"/>
        <v>53.4478538838981</v>
      </c>
      <c r="CR21" s="9">
        <f t="shared" si="18"/>
        <v>10.1755779772781</v>
      </c>
      <c r="CS21" s="10">
        <f t="shared" si="19"/>
        <v>368710</v>
      </c>
    </row>
    <row r="22" spans="1:97">
      <c r="A22" s="6" t="s">
        <v>121</v>
      </c>
      <c r="B22" s="7">
        <v>2023</v>
      </c>
      <c r="C22" s="7">
        <v>913567</v>
      </c>
      <c r="D22" s="7">
        <v>634136</v>
      </c>
      <c r="E22" s="7">
        <v>279431</v>
      </c>
      <c r="F22" s="7">
        <v>72574</v>
      </c>
      <c r="G22" s="7">
        <v>50212</v>
      </c>
      <c r="H22" s="7">
        <v>24853</v>
      </c>
      <c r="I22" s="7">
        <v>131792</v>
      </c>
      <c r="J22" s="7">
        <v>5281</v>
      </c>
      <c r="K22" s="7">
        <v>15653</v>
      </c>
      <c r="L22" s="7">
        <v>-822</v>
      </c>
      <c r="M22" s="7">
        <v>120598</v>
      </c>
      <c r="N22" s="7">
        <v>24120</v>
      </c>
      <c r="O22" s="7">
        <v>96478</v>
      </c>
      <c r="P22" s="7">
        <v>334675</v>
      </c>
      <c r="Q22" s="7">
        <v>122643</v>
      </c>
      <c r="R22" s="7">
        <v>182423</v>
      </c>
      <c r="S22" s="7">
        <v>42840</v>
      </c>
      <c r="T22" s="7">
        <v>682581</v>
      </c>
      <c r="U22" s="7">
        <v>349784</v>
      </c>
      <c r="V22" s="7">
        <v>16248</v>
      </c>
      <c r="W22" s="7">
        <v>20137</v>
      </c>
      <c r="X22" s="7">
        <v>17440</v>
      </c>
      <c r="Y22" s="7">
        <v>1086190</v>
      </c>
      <c r="Z22" s="7">
        <v>79937</v>
      </c>
      <c r="AA22" s="7">
        <v>93817</v>
      </c>
      <c r="AB22" s="7">
        <v>66362</v>
      </c>
      <c r="AC22" s="7">
        <v>240116</v>
      </c>
      <c r="AD22" s="7">
        <v>148455</v>
      </c>
      <c r="AE22" s="7">
        <v>23101</v>
      </c>
      <c r="AF22" s="7">
        <v>411672</v>
      </c>
      <c r="AG22" s="7">
        <v>273600</v>
      </c>
      <c r="AH22" s="7">
        <v>374318</v>
      </c>
      <c r="AI22" s="7">
        <v>26600</v>
      </c>
      <c r="AJ22" s="7">
        <v>674518</v>
      </c>
      <c r="AK22" s="7">
        <v>1086190</v>
      </c>
      <c r="AL22" s="7">
        <v>-9742</v>
      </c>
      <c r="AM22" s="7">
        <v>-44408</v>
      </c>
      <c r="AN22" s="7">
        <v>-223</v>
      </c>
      <c r="AO22" s="7">
        <v>4513</v>
      </c>
      <c r="AP22" s="7">
        <v>3557</v>
      </c>
      <c r="AQ22" s="7">
        <v>-859</v>
      </c>
      <c r="AR22" s="7">
        <v>74169</v>
      </c>
      <c r="AS22" s="7">
        <v>-45678</v>
      </c>
      <c r="AT22" s="7">
        <v>-1191</v>
      </c>
      <c r="AU22" s="7">
        <v>500</v>
      </c>
      <c r="AV22" s="7">
        <v>-1915</v>
      </c>
      <c r="AW22" s="7">
        <v>-48284</v>
      </c>
      <c r="AX22" s="7">
        <v>39518</v>
      </c>
      <c r="AY22" s="7">
        <v>0</v>
      </c>
      <c r="AZ22" s="7">
        <v>-24120</v>
      </c>
      <c r="BA22" s="7">
        <v>15398</v>
      </c>
      <c r="BB22" s="7">
        <v>41283</v>
      </c>
      <c r="BC22" s="7">
        <v>293392</v>
      </c>
      <c r="BD22" s="7">
        <v>334675</v>
      </c>
      <c r="BE22" s="7">
        <v>45</v>
      </c>
      <c r="BF22" s="7">
        <v>91</v>
      </c>
      <c r="BG22" s="8">
        <v>7.5</v>
      </c>
      <c r="BH22" s="8">
        <v>35</v>
      </c>
      <c r="BI22" s="7">
        <v>12</v>
      </c>
      <c r="BJ22" s="7">
        <v>5</v>
      </c>
      <c r="BK22" s="8">
        <v>5</v>
      </c>
      <c r="BL22" s="6" t="s">
        <v>100</v>
      </c>
      <c r="BM22" s="6" t="s">
        <v>101</v>
      </c>
      <c r="BN22" s="6" t="s">
        <v>122</v>
      </c>
      <c r="BO22" s="6" t="s">
        <v>123</v>
      </c>
      <c r="BP22" s="6" t="s">
        <v>104</v>
      </c>
      <c r="BQ22" s="6" t="s">
        <v>105</v>
      </c>
      <c r="BR22" s="6" t="s">
        <v>124</v>
      </c>
      <c r="BS22" s="7">
        <v>2004</v>
      </c>
      <c r="BT22" s="6" t="s">
        <v>107</v>
      </c>
      <c r="BU22" s="6" t="s">
        <v>108</v>
      </c>
      <c r="BV22" s="6" t="s">
        <v>109</v>
      </c>
      <c r="BW22" s="6" t="s">
        <v>110</v>
      </c>
      <c r="BX22" s="6" t="s">
        <v>120</v>
      </c>
      <c r="BY22" s="7" t="b">
        <f t="shared" si="20"/>
        <v>1</v>
      </c>
      <c r="BZ22" s="7" t="b">
        <f t="shared" si="0"/>
        <v>1</v>
      </c>
      <c r="CA22" s="7" t="b">
        <f t="shared" si="1"/>
        <v>1</v>
      </c>
      <c r="CB22" s="7" t="b">
        <f t="shared" si="2"/>
        <v>1</v>
      </c>
      <c r="CC22" s="9">
        <f t="shared" si="3"/>
        <v>6.41234409143219</v>
      </c>
      <c r="CD22" s="9">
        <f t="shared" si="4"/>
        <v>30.5868097249572</v>
      </c>
      <c r="CE22" s="9">
        <f t="shared" si="5"/>
        <v>14.4260902593898</v>
      </c>
      <c r="CF22" s="9">
        <f t="shared" si="6"/>
        <v>10.5605828581812</v>
      </c>
      <c r="CG22" s="9">
        <f t="shared" si="7"/>
        <v>2.8427135217978</v>
      </c>
      <c r="CH22" s="9">
        <f t="shared" si="8"/>
        <v>1.90457112395675</v>
      </c>
      <c r="CI22" s="9">
        <f t="shared" si="9"/>
        <v>21.0268921643543</v>
      </c>
      <c r="CJ22" s="9">
        <f t="shared" si="10"/>
        <v>0.338600304217234</v>
      </c>
      <c r="CK22" s="9">
        <f t="shared" si="11"/>
        <v>9.3973923838439</v>
      </c>
      <c r="CL22" s="9">
        <f t="shared" si="12"/>
        <v>15.1139128268835</v>
      </c>
      <c r="CM22" s="9">
        <f t="shared" si="13"/>
        <v>0.768765936275628</v>
      </c>
      <c r="CN22" s="10">
        <f t="shared" si="14"/>
        <v>28491</v>
      </c>
      <c r="CO22" s="11">
        <f t="shared" si="15"/>
        <v>47.053779306827</v>
      </c>
      <c r="CP22" s="11">
        <f t="shared" si="16"/>
        <v>92.2198629316109</v>
      </c>
      <c r="CQ22" s="11">
        <f t="shared" si="17"/>
        <v>52.7009702965925</v>
      </c>
      <c r="CR22" s="9">
        <f t="shared" si="18"/>
        <v>8.41960007666262</v>
      </c>
      <c r="CS22" s="10">
        <f t="shared" si="19"/>
        <v>442465</v>
      </c>
    </row>
    <row r="23" spans="1:97">
      <c r="A23" s="6" t="s">
        <v>121</v>
      </c>
      <c r="B23" s="7">
        <v>2024</v>
      </c>
      <c r="C23" s="7">
        <v>958193</v>
      </c>
      <c r="D23" s="7">
        <v>670672</v>
      </c>
      <c r="E23" s="7">
        <v>287521</v>
      </c>
      <c r="F23" s="7">
        <v>77108</v>
      </c>
      <c r="G23" s="7">
        <v>54051</v>
      </c>
      <c r="H23" s="7">
        <v>27122</v>
      </c>
      <c r="I23" s="7">
        <v>129240</v>
      </c>
      <c r="J23" s="7">
        <v>6024</v>
      </c>
      <c r="K23" s="7">
        <v>20749</v>
      </c>
      <c r="L23" s="7">
        <v>1260</v>
      </c>
      <c r="M23" s="7">
        <v>115775</v>
      </c>
      <c r="N23" s="7">
        <v>23155</v>
      </c>
      <c r="O23" s="7">
        <v>92620</v>
      </c>
      <c r="P23" s="7">
        <v>367817</v>
      </c>
      <c r="Q23" s="7">
        <v>131259</v>
      </c>
      <c r="R23" s="7">
        <v>248057</v>
      </c>
      <c r="S23" s="7">
        <v>45640</v>
      </c>
      <c r="T23" s="7">
        <v>792773</v>
      </c>
      <c r="U23" s="7">
        <v>368655</v>
      </c>
      <c r="V23" s="7">
        <v>16592</v>
      </c>
      <c r="W23" s="7">
        <v>23085</v>
      </c>
      <c r="X23" s="7">
        <v>15838</v>
      </c>
      <c r="Y23" s="7">
        <v>1216943</v>
      </c>
      <c r="Z23" s="7">
        <v>97257</v>
      </c>
      <c r="AA23" s="7">
        <v>99223</v>
      </c>
      <c r="AB23" s="7">
        <v>69419</v>
      </c>
      <c r="AC23" s="7">
        <v>265899</v>
      </c>
      <c r="AD23" s="7">
        <v>180619</v>
      </c>
      <c r="AE23" s="7">
        <v>26442</v>
      </c>
      <c r="AF23" s="7">
        <v>472960</v>
      </c>
      <c r="AG23" s="7">
        <v>273600</v>
      </c>
      <c r="AH23" s="7">
        <v>443783</v>
      </c>
      <c r="AI23" s="7">
        <v>26600</v>
      </c>
      <c r="AJ23" s="7">
        <v>743983</v>
      </c>
      <c r="AK23" s="7">
        <v>1216943</v>
      </c>
      <c r="AL23" s="7">
        <v>-8616</v>
      </c>
      <c r="AM23" s="7">
        <v>-65634</v>
      </c>
      <c r="AN23" s="7">
        <v>-2800</v>
      </c>
      <c r="AO23" s="7">
        <v>5406</v>
      </c>
      <c r="AP23" s="7">
        <v>3057</v>
      </c>
      <c r="AQ23" s="7">
        <v>3341</v>
      </c>
      <c r="AR23" s="7">
        <v>54496</v>
      </c>
      <c r="AS23" s="7">
        <v>-45993</v>
      </c>
      <c r="AT23" s="7">
        <v>-344</v>
      </c>
      <c r="AU23" s="7">
        <v>-2948</v>
      </c>
      <c r="AV23" s="7">
        <v>1602</v>
      </c>
      <c r="AW23" s="7">
        <v>-47683</v>
      </c>
      <c r="AX23" s="7">
        <v>49484</v>
      </c>
      <c r="AY23" s="7">
        <v>0</v>
      </c>
      <c r="AZ23" s="7">
        <v>-23155</v>
      </c>
      <c r="BA23" s="7">
        <v>26329</v>
      </c>
      <c r="BB23" s="7">
        <v>33142</v>
      </c>
      <c r="BC23" s="7">
        <v>334675</v>
      </c>
      <c r="BD23" s="7">
        <v>367817</v>
      </c>
      <c r="BE23" s="7">
        <v>43</v>
      </c>
      <c r="BF23" s="7">
        <v>125</v>
      </c>
      <c r="BG23" s="8">
        <v>8.2</v>
      </c>
      <c r="BH23" s="8">
        <v>35</v>
      </c>
      <c r="BI23" s="7">
        <v>14</v>
      </c>
      <c r="BJ23" s="7">
        <v>19</v>
      </c>
      <c r="BK23" s="8">
        <v>4.8</v>
      </c>
      <c r="BL23" s="6" t="s">
        <v>100</v>
      </c>
      <c r="BM23" s="6" t="s">
        <v>101</v>
      </c>
      <c r="BN23" s="6" t="s">
        <v>122</v>
      </c>
      <c r="BO23" s="6" t="s">
        <v>123</v>
      </c>
      <c r="BP23" s="6" t="s">
        <v>104</v>
      </c>
      <c r="BQ23" s="6" t="s">
        <v>105</v>
      </c>
      <c r="BR23" s="6" t="s">
        <v>124</v>
      </c>
      <c r="BS23" s="7">
        <v>2004</v>
      </c>
      <c r="BT23" s="6" t="s">
        <v>107</v>
      </c>
      <c r="BU23" s="6" t="s">
        <v>108</v>
      </c>
      <c r="BV23" s="6" t="s">
        <v>109</v>
      </c>
      <c r="BW23" s="6" t="s">
        <v>110</v>
      </c>
      <c r="BX23" s="6" t="s">
        <v>120</v>
      </c>
      <c r="BY23" s="7" t="b">
        <f t="shared" si="20"/>
        <v>1</v>
      </c>
      <c r="BZ23" s="7" t="b">
        <f t="shared" si="0"/>
        <v>1</v>
      </c>
      <c r="CA23" s="7" t="b">
        <f t="shared" si="1"/>
        <v>1</v>
      </c>
      <c r="CB23" s="7" t="b">
        <f t="shared" si="2"/>
        <v>1</v>
      </c>
      <c r="CC23" s="9">
        <f t="shared" si="3"/>
        <v>4.88480866756352</v>
      </c>
      <c r="CD23" s="9">
        <f t="shared" si="4"/>
        <v>30.0065853121448</v>
      </c>
      <c r="CE23" s="9">
        <f t="shared" si="5"/>
        <v>13.4878881394458</v>
      </c>
      <c r="CF23" s="9">
        <f t="shared" si="6"/>
        <v>9.66611110705255</v>
      </c>
      <c r="CG23" s="9">
        <f t="shared" si="7"/>
        <v>2.98148169041629</v>
      </c>
      <c r="CH23" s="9">
        <f t="shared" si="8"/>
        <v>1.87693823594673</v>
      </c>
      <c r="CI23" s="9">
        <f t="shared" si="9"/>
        <v>22.833937168791</v>
      </c>
      <c r="CJ23" s="9">
        <f t="shared" si="10"/>
        <v>0.373497781535331</v>
      </c>
      <c r="CK23" s="9">
        <f t="shared" si="11"/>
        <v>8.0429571370824</v>
      </c>
      <c r="CL23" s="9">
        <f t="shared" si="12"/>
        <v>13.0588557921355</v>
      </c>
      <c r="CM23" s="9">
        <f t="shared" si="13"/>
        <v>0.588382638738933</v>
      </c>
      <c r="CN23" s="10">
        <f t="shared" si="14"/>
        <v>8503</v>
      </c>
      <c r="CO23" s="11">
        <f t="shared" si="15"/>
        <v>48.358853592126</v>
      </c>
      <c r="CP23" s="11">
        <f t="shared" si="16"/>
        <v>117.140122146146</v>
      </c>
      <c r="CQ23" s="11">
        <f t="shared" si="17"/>
        <v>52.5291051363409</v>
      </c>
      <c r="CR23" s="9">
        <f t="shared" si="18"/>
        <v>6.22873391488746</v>
      </c>
      <c r="CS23" s="10">
        <f t="shared" si="19"/>
        <v>526874</v>
      </c>
    </row>
    <row r="24" spans="1:97">
      <c r="A24" s="6" t="s">
        <v>121</v>
      </c>
      <c r="B24" s="7">
        <v>2025</v>
      </c>
      <c r="C24" s="7">
        <v>994369</v>
      </c>
      <c r="D24" s="7">
        <v>707139</v>
      </c>
      <c r="E24" s="7">
        <v>287230</v>
      </c>
      <c r="F24" s="7">
        <v>82548</v>
      </c>
      <c r="G24" s="7">
        <v>56221</v>
      </c>
      <c r="H24" s="7">
        <v>28222</v>
      </c>
      <c r="I24" s="7">
        <v>120239</v>
      </c>
      <c r="J24" s="7">
        <v>6621</v>
      </c>
      <c r="K24" s="7">
        <v>26331</v>
      </c>
      <c r="L24" s="7">
        <v>1304</v>
      </c>
      <c r="M24" s="7">
        <v>101833</v>
      </c>
      <c r="N24" s="7">
        <v>20367</v>
      </c>
      <c r="O24" s="7">
        <v>81466</v>
      </c>
      <c r="P24" s="7">
        <v>394263</v>
      </c>
      <c r="Q24" s="7">
        <v>141664</v>
      </c>
      <c r="R24" s="7">
        <v>319666</v>
      </c>
      <c r="S24" s="7">
        <v>47672</v>
      </c>
      <c r="T24" s="7">
        <v>903265</v>
      </c>
      <c r="U24" s="7">
        <v>385180</v>
      </c>
      <c r="V24" s="7">
        <v>17230</v>
      </c>
      <c r="W24" s="7">
        <v>21917</v>
      </c>
      <c r="X24" s="7">
        <v>17135</v>
      </c>
      <c r="Y24" s="7">
        <v>1344727</v>
      </c>
      <c r="Z24" s="7">
        <v>118330</v>
      </c>
      <c r="AA24" s="7">
        <v>102680</v>
      </c>
      <c r="AB24" s="7">
        <v>74460</v>
      </c>
      <c r="AC24" s="7">
        <v>295470</v>
      </c>
      <c r="AD24" s="7">
        <v>219755</v>
      </c>
      <c r="AE24" s="7">
        <v>24419</v>
      </c>
      <c r="AF24" s="7">
        <v>539644</v>
      </c>
      <c r="AG24" s="7">
        <v>273600</v>
      </c>
      <c r="AH24" s="7">
        <v>504883</v>
      </c>
      <c r="AI24" s="7">
        <v>26600</v>
      </c>
      <c r="AJ24" s="7">
        <v>805083</v>
      </c>
      <c r="AK24" s="7">
        <v>1344727</v>
      </c>
      <c r="AL24" s="7">
        <v>-10405</v>
      </c>
      <c r="AM24" s="7">
        <v>-71609</v>
      </c>
      <c r="AN24" s="7">
        <v>-2032</v>
      </c>
      <c r="AO24" s="7">
        <v>3457</v>
      </c>
      <c r="AP24" s="7">
        <v>5041</v>
      </c>
      <c r="AQ24" s="7">
        <v>-2023</v>
      </c>
      <c r="AR24" s="7">
        <v>32117</v>
      </c>
      <c r="AS24" s="7">
        <v>-44747</v>
      </c>
      <c r="AT24" s="7">
        <v>-638</v>
      </c>
      <c r="AU24" s="7">
        <v>1168</v>
      </c>
      <c r="AV24" s="7">
        <v>-1297</v>
      </c>
      <c r="AW24" s="7">
        <v>-45514</v>
      </c>
      <c r="AX24" s="7">
        <v>60209</v>
      </c>
      <c r="AY24" s="7">
        <v>0</v>
      </c>
      <c r="AZ24" s="7">
        <v>-20366</v>
      </c>
      <c r="BA24" s="7">
        <v>39843</v>
      </c>
      <c r="BB24" s="7">
        <v>26446</v>
      </c>
      <c r="BC24" s="7">
        <v>367817</v>
      </c>
      <c r="BD24" s="7">
        <v>394263</v>
      </c>
      <c r="BE24" s="7">
        <v>46</v>
      </c>
      <c r="BF24" s="7">
        <v>160</v>
      </c>
      <c r="BG24" s="8">
        <v>8.55</v>
      </c>
      <c r="BH24" s="8">
        <v>35</v>
      </c>
      <c r="BI24" s="7">
        <v>12</v>
      </c>
      <c r="BJ24" s="7">
        <v>13</v>
      </c>
      <c r="BK24" s="8">
        <v>4.5</v>
      </c>
      <c r="BL24" s="6" t="s">
        <v>100</v>
      </c>
      <c r="BM24" s="6" t="s">
        <v>101</v>
      </c>
      <c r="BN24" s="6" t="s">
        <v>122</v>
      </c>
      <c r="BO24" s="6" t="s">
        <v>123</v>
      </c>
      <c r="BP24" s="6" t="s">
        <v>104</v>
      </c>
      <c r="BQ24" s="6" t="s">
        <v>105</v>
      </c>
      <c r="BR24" s="6" t="s">
        <v>124</v>
      </c>
      <c r="BS24" s="7">
        <v>2004</v>
      </c>
      <c r="BT24" s="6" t="s">
        <v>107</v>
      </c>
      <c r="BU24" s="6" t="s">
        <v>108</v>
      </c>
      <c r="BV24" s="6" t="s">
        <v>109</v>
      </c>
      <c r="BW24" s="6" t="s">
        <v>110</v>
      </c>
      <c r="BX24" s="6" t="s">
        <v>120</v>
      </c>
      <c r="BY24" s="7" t="b">
        <f t="shared" si="20"/>
        <v>1</v>
      </c>
      <c r="BZ24" s="7" t="b">
        <f t="shared" si="0"/>
        <v>1</v>
      </c>
      <c r="CA24" s="7" t="b">
        <f t="shared" si="1"/>
        <v>1</v>
      </c>
      <c r="CB24" s="7" t="b">
        <f t="shared" si="2"/>
        <v>1</v>
      </c>
      <c r="CC24" s="9">
        <f t="shared" si="3"/>
        <v>3.77543981222989</v>
      </c>
      <c r="CD24" s="9">
        <f t="shared" si="4"/>
        <v>28.8856551240033</v>
      </c>
      <c r="CE24" s="9">
        <f t="shared" si="5"/>
        <v>12.0919899956656</v>
      </c>
      <c r="CF24" s="9">
        <f t="shared" si="6"/>
        <v>8.19273328110591</v>
      </c>
      <c r="CG24" s="9">
        <f t="shared" si="7"/>
        <v>3.05704470843064</v>
      </c>
      <c r="CH24" s="9">
        <f t="shared" si="8"/>
        <v>1.81381189291637</v>
      </c>
      <c r="CI24" s="9">
        <f t="shared" si="9"/>
        <v>25.1415343039888</v>
      </c>
      <c r="CJ24" s="9">
        <f t="shared" si="10"/>
        <v>0.419938068497285</v>
      </c>
      <c r="CK24" s="9">
        <f t="shared" si="11"/>
        <v>6.36038209449305</v>
      </c>
      <c r="CL24" s="9">
        <f t="shared" si="12"/>
        <v>10.5180799268721</v>
      </c>
      <c r="CM24" s="9">
        <f t="shared" si="13"/>
        <v>0.394238087054722</v>
      </c>
      <c r="CN24" s="10">
        <f t="shared" si="14"/>
        <v>-12630</v>
      </c>
      <c r="CO24" s="11">
        <f t="shared" si="15"/>
        <v>50.0905071457377</v>
      </c>
      <c r="CP24" s="11">
        <f t="shared" si="16"/>
        <v>146.51920980175</v>
      </c>
      <c r="CQ24" s="11">
        <f t="shared" si="17"/>
        <v>52.1075736170682</v>
      </c>
      <c r="CR24" s="9">
        <f t="shared" si="18"/>
        <v>4.56644259617941</v>
      </c>
      <c r="CS24" s="10">
        <f t="shared" si="19"/>
        <v>607795</v>
      </c>
    </row>
    <row r="25" spans="1:97">
      <c r="A25" s="6" t="s">
        <v>125</v>
      </c>
      <c r="B25" s="7">
        <v>2021</v>
      </c>
      <c r="C25" s="7">
        <v>2322591</v>
      </c>
      <c r="D25" s="7">
        <v>1577321</v>
      </c>
      <c r="E25" s="7">
        <v>745270</v>
      </c>
      <c r="F25" s="7">
        <v>171224</v>
      </c>
      <c r="G25" s="7">
        <v>128348</v>
      </c>
      <c r="H25" s="7">
        <v>70433</v>
      </c>
      <c r="I25" s="7">
        <v>375265</v>
      </c>
      <c r="J25" s="7">
        <v>7531</v>
      </c>
      <c r="K25" s="7">
        <v>29709</v>
      </c>
      <c r="L25" s="7">
        <v>1797</v>
      </c>
      <c r="M25" s="7">
        <v>354884</v>
      </c>
      <c r="N25" s="7">
        <v>70977</v>
      </c>
      <c r="O25" s="7">
        <v>283907</v>
      </c>
      <c r="P25" s="7">
        <v>610595</v>
      </c>
      <c r="Q25" s="7">
        <v>305437</v>
      </c>
      <c r="R25" s="7">
        <v>345714</v>
      </c>
      <c r="S25" s="7">
        <v>113692</v>
      </c>
      <c r="T25" s="7">
        <v>1375438</v>
      </c>
      <c r="U25" s="7">
        <v>971922</v>
      </c>
      <c r="V25" s="7">
        <v>43078</v>
      </c>
      <c r="W25" s="7">
        <v>53157</v>
      </c>
      <c r="X25" s="7">
        <v>45194</v>
      </c>
      <c r="Y25" s="7">
        <v>2488789</v>
      </c>
      <c r="Z25" s="7">
        <v>162581</v>
      </c>
      <c r="AA25" s="7">
        <v>242000</v>
      </c>
      <c r="AB25" s="7">
        <v>164267</v>
      </c>
      <c r="AC25" s="7">
        <v>568848</v>
      </c>
      <c r="AD25" s="7">
        <v>301937</v>
      </c>
      <c r="AE25" s="7">
        <v>56060</v>
      </c>
      <c r="AF25" s="7">
        <v>926845</v>
      </c>
      <c r="AG25" s="7">
        <v>774000</v>
      </c>
      <c r="AH25" s="7">
        <v>712694</v>
      </c>
      <c r="AI25" s="7">
        <v>75250</v>
      </c>
      <c r="AJ25" s="7">
        <v>1561944</v>
      </c>
      <c r="AK25" s="7">
        <v>2488789</v>
      </c>
      <c r="AL25" s="7">
        <v>-40369</v>
      </c>
      <c r="AM25" s="7">
        <v>-45303</v>
      </c>
      <c r="AN25" s="7">
        <v>-6192</v>
      </c>
      <c r="AO25" s="7">
        <v>25704</v>
      </c>
      <c r="AP25" s="7">
        <v>3017</v>
      </c>
      <c r="AQ25" s="7">
        <v>-4140</v>
      </c>
      <c r="AR25" s="7">
        <v>287057</v>
      </c>
      <c r="AS25" s="7">
        <v>-139355</v>
      </c>
      <c r="AT25" s="7">
        <v>-4378</v>
      </c>
      <c r="AU25" s="7">
        <v>593</v>
      </c>
      <c r="AV25" s="7">
        <v>-6494</v>
      </c>
      <c r="AW25" s="7">
        <v>-149634</v>
      </c>
      <c r="AX25" s="7">
        <v>77518</v>
      </c>
      <c r="AY25" s="7">
        <v>0</v>
      </c>
      <c r="AZ25" s="7">
        <v>-22713</v>
      </c>
      <c r="BA25" s="7">
        <v>54805</v>
      </c>
      <c r="BB25" s="7">
        <v>192228</v>
      </c>
      <c r="BC25" s="7">
        <v>418367</v>
      </c>
      <c r="BD25" s="7">
        <v>610595</v>
      </c>
      <c r="BE25" s="7">
        <v>41</v>
      </c>
      <c r="BF25" s="7">
        <v>70</v>
      </c>
      <c r="BG25" s="8">
        <v>6.98</v>
      </c>
      <c r="BH25" s="8">
        <v>35</v>
      </c>
      <c r="BI25" s="7">
        <v>23</v>
      </c>
      <c r="BJ25" s="7">
        <v>27</v>
      </c>
      <c r="BK25" s="8">
        <v>6</v>
      </c>
      <c r="BL25" s="6" t="s">
        <v>100</v>
      </c>
      <c r="BM25" s="6" t="s">
        <v>101</v>
      </c>
      <c r="BN25" s="6" t="s">
        <v>126</v>
      </c>
      <c r="BO25" s="6" t="s">
        <v>127</v>
      </c>
      <c r="BP25" s="6" t="s">
        <v>104</v>
      </c>
      <c r="BQ25" s="6" t="s">
        <v>105</v>
      </c>
      <c r="BR25" s="6" t="s">
        <v>128</v>
      </c>
      <c r="BS25" s="7">
        <v>2006</v>
      </c>
      <c r="BT25" s="6" t="s">
        <v>107</v>
      </c>
      <c r="BU25" s="6" t="s">
        <v>108</v>
      </c>
      <c r="BV25" s="6" t="s">
        <v>109</v>
      </c>
      <c r="BW25" s="6" t="s">
        <v>110</v>
      </c>
      <c r="BX25" s="6" t="s">
        <v>111</v>
      </c>
      <c r="BY25" s="7" t="b">
        <f t="shared" si="20"/>
        <v>1</v>
      </c>
      <c r="BZ25" s="7" t="b">
        <f t="shared" si="0"/>
        <v>1</v>
      </c>
      <c r="CA25" s="7" t="b">
        <f t="shared" si="1"/>
        <v>1</v>
      </c>
      <c r="CB25" s="7" t="b">
        <f t="shared" si="2"/>
        <v>1</v>
      </c>
      <c r="CC25" s="9" t="str">
        <f t="shared" si="3"/>
        <v/>
      </c>
      <c r="CD25" s="9">
        <f t="shared" si="4"/>
        <v>32.0878708304648</v>
      </c>
      <c r="CE25" s="9">
        <f t="shared" si="5"/>
        <v>16.1571710215014</v>
      </c>
      <c r="CF25" s="9">
        <f t="shared" si="6"/>
        <v>12.2237191136967</v>
      </c>
      <c r="CG25" s="9">
        <f t="shared" si="7"/>
        <v>2.41793589851771</v>
      </c>
      <c r="CH25" s="9">
        <f t="shared" si="8"/>
        <v>1.61032824234242</v>
      </c>
      <c r="CI25" s="9">
        <f t="shared" si="9"/>
        <v>18.6644187193049</v>
      </c>
      <c r="CJ25" s="9">
        <f t="shared" si="10"/>
        <v>0.297397345871555</v>
      </c>
      <c r="CK25" s="9" t="str">
        <f t="shared" si="11"/>
        <v/>
      </c>
      <c r="CL25" s="9" t="str">
        <f t="shared" si="12"/>
        <v/>
      </c>
      <c r="CM25" s="9">
        <f t="shared" si="13"/>
        <v>1.01109518257739</v>
      </c>
      <c r="CN25" s="10">
        <f t="shared" si="14"/>
        <v>147702</v>
      </c>
      <c r="CO25" s="11" t="str">
        <f t="shared" si="15"/>
        <v/>
      </c>
      <c r="CP25" s="11" t="str">
        <f t="shared" si="16"/>
        <v/>
      </c>
      <c r="CQ25" s="11" t="str">
        <f t="shared" si="17"/>
        <v/>
      </c>
      <c r="CR25" s="9">
        <f t="shared" si="18"/>
        <v>12.6313575010939</v>
      </c>
      <c r="CS25" s="10">
        <f t="shared" si="19"/>
        <v>806590</v>
      </c>
    </row>
    <row r="26" spans="1:97">
      <c r="A26" s="6" t="s">
        <v>125</v>
      </c>
      <c r="B26" s="7">
        <v>2022</v>
      </c>
      <c r="C26" s="7">
        <v>2526671</v>
      </c>
      <c r="D26" s="7">
        <v>1715811</v>
      </c>
      <c r="E26" s="7">
        <v>810860</v>
      </c>
      <c r="F26" s="7">
        <v>186525</v>
      </c>
      <c r="G26" s="7">
        <v>139361</v>
      </c>
      <c r="H26" s="7">
        <v>79613</v>
      </c>
      <c r="I26" s="7">
        <v>405361</v>
      </c>
      <c r="J26" s="7">
        <v>10991</v>
      </c>
      <c r="K26" s="7">
        <v>43960</v>
      </c>
      <c r="L26" s="7">
        <v>2247</v>
      </c>
      <c r="M26" s="7">
        <v>374639</v>
      </c>
      <c r="N26" s="7">
        <v>74928</v>
      </c>
      <c r="O26" s="7">
        <v>299711</v>
      </c>
      <c r="P26" s="7">
        <v>973732</v>
      </c>
      <c r="Q26" s="7">
        <v>339197</v>
      </c>
      <c r="R26" s="7">
        <v>385470</v>
      </c>
      <c r="S26" s="7">
        <v>125161</v>
      </c>
      <c r="T26" s="7">
        <v>1823560</v>
      </c>
      <c r="U26" s="7">
        <v>1094443</v>
      </c>
      <c r="V26" s="7">
        <v>46201</v>
      </c>
      <c r="W26" s="7">
        <v>60195</v>
      </c>
      <c r="X26" s="7">
        <v>48056</v>
      </c>
      <c r="Y26" s="7">
        <v>3072455</v>
      </c>
      <c r="Z26" s="7">
        <v>247614</v>
      </c>
      <c r="AA26" s="7">
        <v>267949</v>
      </c>
      <c r="AB26" s="7">
        <v>193359</v>
      </c>
      <c r="AC26" s="7">
        <v>708922</v>
      </c>
      <c r="AD26" s="7">
        <v>459854</v>
      </c>
      <c r="AE26" s="7">
        <v>66001</v>
      </c>
      <c r="AF26" s="7">
        <v>1234777</v>
      </c>
      <c r="AG26" s="7">
        <v>774000</v>
      </c>
      <c r="AH26" s="7">
        <v>988428</v>
      </c>
      <c r="AI26" s="7">
        <v>75250</v>
      </c>
      <c r="AJ26" s="7">
        <v>1837678</v>
      </c>
      <c r="AK26" s="7">
        <v>3072455</v>
      </c>
      <c r="AL26" s="7">
        <v>-33760</v>
      </c>
      <c r="AM26" s="7">
        <v>-39756</v>
      </c>
      <c r="AN26" s="7">
        <v>-11469</v>
      </c>
      <c r="AO26" s="7">
        <v>25949</v>
      </c>
      <c r="AP26" s="7">
        <v>29092</v>
      </c>
      <c r="AQ26" s="7">
        <v>9941</v>
      </c>
      <c r="AR26" s="7">
        <v>359321</v>
      </c>
      <c r="AS26" s="7">
        <v>-202134</v>
      </c>
      <c r="AT26" s="7">
        <v>-3123</v>
      </c>
      <c r="AU26" s="7">
        <v>-7038</v>
      </c>
      <c r="AV26" s="7">
        <v>-2862</v>
      </c>
      <c r="AW26" s="7">
        <v>-215157</v>
      </c>
      <c r="AX26" s="7">
        <v>242950</v>
      </c>
      <c r="AY26" s="7">
        <v>0</v>
      </c>
      <c r="AZ26" s="7">
        <v>-23977</v>
      </c>
      <c r="BA26" s="7">
        <v>218973</v>
      </c>
      <c r="BB26" s="7">
        <v>363137</v>
      </c>
      <c r="BC26" s="7">
        <v>610595</v>
      </c>
      <c r="BD26" s="7">
        <v>973732</v>
      </c>
      <c r="BE26" s="7">
        <v>43</v>
      </c>
      <c r="BF26" s="7">
        <v>69</v>
      </c>
      <c r="BG26" s="8">
        <v>7.5</v>
      </c>
      <c r="BH26" s="8">
        <v>35</v>
      </c>
      <c r="BI26" s="7">
        <v>17</v>
      </c>
      <c r="BJ26" s="7">
        <v>22</v>
      </c>
      <c r="BK26" s="8">
        <v>8</v>
      </c>
      <c r="BL26" s="6" t="s">
        <v>100</v>
      </c>
      <c r="BM26" s="6" t="s">
        <v>101</v>
      </c>
      <c r="BN26" s="6" t="s">
        <v>126</v>
      </c>
      <c r="BO26" s="6" t="s">
        <v>127</v>
      </c>
      <c r="BP26" s="6" t="s">
        <v>104</v>
      </c>
      <c r="BQ26" s="6" t="s">
        <v>105</v>
      </c>
      <c r="BR26" s="6" t="s">
        <v>128</v>
      </c>
      <c r="BS26" s="7">
        <v>2006</v>
      </c>
      <c r="BT26" s="6" t="s">
        <v>107</v>
      </c>
      <c r="BU26" s="6" t="s">
        <v>108</v>
      </c>
      <c r="BV26" s="6" t="s">
        <v>109</v>
      </c>
      <c r="BW26" s="6" t="s">
        <v>110</v>
      </c>
      <c r="BX26" s="6" t="s">
        <v>111</v>
      </c>
      <c r="BY26" s="7" t="b">
        <f t="shared" si="20"/>
        <v>1</v>
      </c>
      <c r="BZ26" s="7" t="b">
        <f t="shared" si="0"/>
        <v>1</v>
      </c>
      <c r="CA26" s="7" t="b">
        <f t="shared" si="1"/>
        <v>1</v>
      </c>
      <c r="CB26" s="7" t="b">
        <f t="shared" si="2"/>
        <v>1</v>
      </c>
      <c r="CC26" s="9">
        <f t="shared" si="3"/>
        <v>8.78673860356817</v>
      </c>
      <c r="CD26" s="9">
        <f t="shared" si="4"/>
        <v>32.0920293936171</v>
      </c>
      <c r="CE26" s="9">
        <f t="shared" si="5"/>
        <v>16.0432838307797</v>
      </c>
      <c r="CF26" s="9">
        <f t="shared" si="6"/>
        <v>11.8618925851446</v>
      </c>
      <c r="CG26" s="9">
        <f t="shared" si="7"/>
        <v>2.5722999145181</v>
      </c>
      <c r="CH26" s="9">
        <f t="shared" si="8"/>
        <v>1.85200769619225</v>
      </c>
      <c r="CI26" s="9">
        <f t="shared" si="9"/>
        <v>23.0261468434851</v>
      </c>
      <c r="CJ26" s="9">
        <f t="shared" si="10"/>
        <v>0.384979305406061</v>
      </c>
      <c r="CK26" s="9">
        <f t="shared" si="11"/>
        <v>10.7785596172367</v>
      </c>
      <c r="CL26" s="9">
        <f t="shared" si="12"/>
        <v>17.6320190891811</v>
      </c>
      <c r="CM26" s="9">
        <f t="shared" si="13"/>
        <v>1.19889159890695</v>
      </c>
      <c r="CN26" s="10">
        <f t="shared" si="14"/>
        <v>157187</v>
      </c>
      <c r="CO26" s="11">
        <f t="shared" si="15"/>
        <v>46.5615448152925</v>
      </c>
      <c r="CP26" s="11">
        <f t="shared" si="16"/>
        <v>77.7714328676061</v>
      </c>
      <c r="CQ26" s="11">
        <f t="shared" si="17"/>
        <v>54.2400605311424</v>
      </c>
      <c r="CR26" s="9">
        <f t="shared" si="18"/>
        <v>9.22113284804368</v>
      </c>
      <c r="CS26" s="10">
        <f t="shared" si="19"/>
        <v>1114638</v>
      </c>
    </row>
    <row r="27" spans="1:97">
      <c r="A27" s="6" t="s">
        <v>125</v>
      </c>
      <c r="B27" s="7">
        <v>2023</v>
      </c>
      <c r="C27" s="7">
        <v>2782300</v>
      </c>
      <c r="D27" s="7">
        <v>1876663</v>
      </c>
      <c r="E27" s="7">
        <v>905637</v>
      </c>
      <c r="F27" s="7">
        <v>209529</v>
      </c>
      <c r="G27" s="7">
        <v>154264</v>
      </c>
      <c r="H27" s="7">
        <v>87998</v>
      </c>
      <c r="I27" s="7">
        <v>453846</v>
      </c>
      <c r="J27" s="7">
        <v>17527</v>
      </c>
      <c r="K27" s="7">
        <v>73303</v>
      </c>
      <c r="L27" s="7">
        <v>-275</v>
      </c>
      <c r="M27" s="7">
        <v>397795</v>
      </c>
      <c r="N27" s="7">
        <v>79559</v>
      </c>
      <c r="O27" s="7">
        <v>318236</v>
      </c>
      <c r="P27" s="7">
        <v>1335918</v>
      </c>
      <c r="Q27" s="7">
        <v>381137</v>
      </c>
      <c r="R27" s="7">
        <v>431890</v>
      </c>
      <c r="S27" s="7">
        <v>127189</v>
      </c>
      <c r="T27" s="7">
        <v>2276134</v>
      </c>
      <c r="U27" s="7">
        <v>1312498</v>
      </c>
      <c r="V27" s="7">
        <v>48926</v>
      </c>
      <c r="W27" s="7">
        <v>71071</v>
      </c>
      <c r="X27" s="7">
        <v>48359</v>
      </c>
      <c r="Y27" s="7">
        <v>3756988</v>
      </c>
      <c r="Z27" s="7">
        <v>370046</v>
      </c>
      <c r="AA27" s="7">
        <v>298209</v>
      </c>
      <c r="AB27" s="7">
        <v>199175</v>
      </c>
      <c r="AC27" s="7">
        <v>867430</v>
      </c>
      <c r="AD27" s="7">
        <v>687228</v>
      </c>
      <c r="AE27" s="7">
        <v>71875</v>
      </c>
      <c r="AF27" s="7">
        <v>1626533</v>
      </c>
      <c r="AG27" s="7">
        <v>774000</v>
      </c>
      <c r="AH27" s="7">
        <v>1281205</v>
      </c>
      <c r="AI27" s="7">
        <v>75250</v>
      </c>
      <c r="AJ27" s="7">
        <v>2130455</v>
      </c>
      <c r="AK27" s="7">
        <v>3756988</v>
      </c>
      <c r="AL27" s="7">
        <v>-41940</v>
      </c>
      <c r="AM27" s="7">
        <v>-46420</v>
      </c>
      <c r="AN27" s="7">
        <v>-2028</v>
      </c>
      <c r="AO27" s="7">
        <v>30260</v>
      </c>
      <c r="AP27" s="7">
        <v>5816</v>
      </c>
      <c r="AQ27" s="7">
        <v>5874</v>
      </c>
      <c r="AR27" s="7">
        <v>357796</v>
      </c>
      <c r="AS27" s="7">
        <v>-306053</v>
      </c>
      <c r="AT27" s="7">
        <v>-2725</v>
      </c>
      <c r="AU27" s="7">
        <v>-10876</v>
      </c>
      <c r="AV27" s="7">
        <v>-303</v>
      </c>
      <c r="AW27" s="7">
        <v>-319957</v>
      </c>
      <c r="AX27" s="7">
        <v>349806</v>
      </c>
      <c r="AY27" s="7">
        <v>0</v>
      </c>
      <c r="AZ27" s="7">
        <v>-25459</v>
      </c>
      <c r="BA27" s="7">
        <v>324347</v>
      </c>
      <c r="BB27" s="7">
        <v>362186</v>
      </c>
      <c r="BC27" s="7">
        <v>973732</v>
      </c>
      <c r="BD27" s="7">
        <v>1335918</v>
      </c>
      <c r="BE27" s="7">
        <v>41</v>
      </c>
      <c r="BF27" s="7">
        <v>78</v>
      </c>
      <c r="BG27" s="8">
        <v>8.31</v>
      </c>
      <c r="BH27" s="8">
        <v>35</v>
      </c>
      <c r="BI27" s="7">
        <v>14</v>
      </c>
      <c r="BJ27" s="7">
        <v>17</v>
      </c>
      <c r="BK27" s="8">
        <v>11</v>
      </c>
      <c r="BL27" s="6" t="s">
        <v>100</v>
      </c>
      <c r="BM27" s="6" t="s">
        <v>101</v>
      </c>
      <c r="BN27" s="6" t="s">
        <v>126</v>
      </c>
      <c r="BO27" s="6" t="s">
        <v>127</v>
      </c>
      <c r="BP27" s="6" t="s">
        <v>104</v>
      </c>
      <c r="BQ27" s="6" t="s">
        <v>105</v>
      </c>
      <c r="BR27" s="6" t="s">
        <v>128</v>
      </c>
      <c r="BS27" s="7">
        <v>2006</v>
      </c>
      <c r="BT27" s="6" t="s">
        <v>107</v>
      </c>
      <c r="BU27" s="6" t="s">
        <v>108</v>
      </c>
      <c r="BV27" s="6" t="s">
        <v>109</v>
      </c>
      <c r="BW27" s="6" t="s">
        <v>110</v>
      </c>
      <c r="BX27" s="6" t="s">
        <v>111</v>
      </c>
      <c r="BY27" s="7" t="b">
        <f t="shared" si="20"/>
        <v>1</v>
      </c>
      <c r="BZ27" s="7" t="b">
        <f t="shared" si="0"/>
        <v>1</v>
      </c>
      <c r="CA27" s="7" t="b">
        <f t="shared" si="1"/>
        <v>1</v>
      </c>
      <c r="CB27" s="7" t="b">
        <f t="shared" si="2"/>
        <v>1</v>
      </c>
      <c r="CC27" s="9">
        <f t="shared" si="3"/>
        <v>10.1172253926214</v>
      </c>
      <c r="CD27" s="9">
        <f t="shared" si="4"/>
        <v>32.549940696546</v>
      </c>
      <c r="CE27" s="9">
        <f t="shared" si="5"/>
        <v>16.3119002264314</v>
      </c>
      <c r="CF27" s="9">
        <f t="shared" si="6"/>
        <v>11.4378751392733</v>
      </c>
      <c r="CG27" s="9">
        <f t="shared" si="7"/>
        <v>2.6239973254326</v>
      </c>
      <c r="CH27" s="9">
        <f t="shared" si="8"/>
        <v>1.97947384803385</v>
      </c>
      <c r="CI27" s="9">
        <f t="shared" si="9"/>
        <v>28.1415325255231</v>
      </c>
      <c r="CJ27" s="9">
        <f t="shared" si="10"/>
        <v>0.496266759917482</v>
      </c>
      <c r="CK27" s="9">
        <f t="shared" si="11"/>
        <v>9.31953015787671</v>
      </c>
      <c r="CL27" s="9">
        <f t="shared" si="12"/>
        <v>16.0395833506589</v>
      </c>
      <c r="CM27" s="9">
        <f t="shared" si="13"/>
        <v>1.12431026030996</v>
      </c>
      <c r="CN27" s="10">
        <f t="shared" si="14"/>
        <v>51743</v>
      </c>
      <c r="CO27" s="11">
        <f t="shared" si="15"/>
        <v>47.2490223915466</v>
      </c>
      <c r="CP27" s="11">
        <f t="shared" si="16"/>
        <v>79.4858746615668</v>
      </c>
      <c r="CQ27" s="11">
        <f t="shared" si="17"/>
        <v>55.0572132556564</v>
      </c>
      <c r="CR27" s="9">
        <f t="shared" si="18"/>
        <v>6.19137006670941</v>
      </c>
      <c r="CS27" s="10">
        <f t="shared" si="19"/>
        <v>1408704</v>
      </c>
    </row>
    <row r="28" spans="1:97">
      <c r="A28" s="6" t="s">
        <v>125</v>
      </c>
      <c r="B28" s="7">
        <v>2024</v>
      </c>
      <c r="C28" s="7">
        <v>3046628</v>
      </c>
      <c r="D28" s="7">
        <v>2060926</v>
      </c>
      <c r="E28" s="7">
        <v>985702</v>
      </c>
      <c r="F28" s="7">
        <v>231157</v>
      </c>
      <c r="G28" s="7">
        <v>165339</v>
      </c>
      <c r="H28" s="7">
        <v>95649</v>
      </c>
      <c r="I28" s="7">
        <v>493557</v>
      </c>
      <c r="J28" s="7">
        <v>24047</v>
      </c>
      <c r="K28" s="7">
        <v>117774</v>
      </c>
      <c r="L28" s="7">
        <v>953</v>
      </c>
      <c r="M28" s="7">
        <v>400783</v>
      </c>
      <c r="N28" s="7">
        <v>80157</v>
      </c>
      <c r="O28" s="7">
        <v>320626</v>
      </c>
      <c r="P28" s="7">
        <v>1702089</v>
      </c>
      <c r="Q28" s="7">
        <v>425693</v>
      </c>
      <c r="R28" s="7">
        <v>485588</v>
      </c>
      <c r="S28" s="7">
        <v>148551</v>
      </c>
      <c r="T28" s="7">
        <v>2761921</v>
      </c>
      <c r="U28" s="7">
        <v>1582444</v>
      </c>
      <c r="V28" s="7">
        <v>55781</v>
      </c>
      <c r="W28" s="7">
        <v>79108</v>
      </c>
      <c r="X28" s="7">
        <v>50795</v>
      </c>
      <c r="Y28" s="7">
        <v>4530049</v>
      </c>
      <c r="Z28" s="7">
        <v>511833</v>
      </c>
      <c r="AA28" s="7">
        <v>327490</v>
      </c>
      <c r="AB28" s="7">
        <v>229773</v>
      </c>
      <c r="AC28" s="7">
        <v>1069096</v>
      </c>
      <c r="AD28" s="7">
        <v>950548</v>
      </c>
      <c r="AE28" s="7">
        <v>84974</v>
      </c>
      <c r="AF28" s="7">
        <v>2104618</v>
      </c>
      <c r="AG28" s="7">
        <v>774000</v>
      </c>
      <c r="AH28" s="7">
        <v>1576181</v>
      </c>
      <c r="AI28" s="7">
        <v>75250</v>
      </c>
      <c r="AJ28" s="7">
        <v>2425431</v>
      </c>
      <c r="AK28" s="7">
        <v>4530049</v>
      </c>
      <c r="AL28" s="7">
        <v>-44556</v>
      </c>
      <c r="AM28" s="7">
        <v>-53698</v>
      </c>
      <c r="AN28" s="7">
        <v>-21362</v>
      </c>
      <c r="AO28" s="7">
        <v>29281</v>
      </c>
      <c r="AP28" s="7">
        <v>30598</v>
      </c>
      <c r="AQ28" s="7">
        <v>13099</v>
      </c>
      <c r="AR28" s="7">
        <v>369637</v>
      </c>
      <c r="AS28" s="7">
        <v>-365595</v>
      </c>
      <c r="AT28" s="7">
        <v>-6855</v>
      </c>
      <c r="AU28" s="7">
        <v>-8037</v>
      </c>
      <c r="AV28" s="7">
        <v>-2436</v>
      </c>
      <c r="AW28" s="7">
        <v>-382923</v>
      </c>
      <c r="AX28" s="7">
        <v>405107</v>
      </c>
      <c r="AY28" s="7">
        <v>0</v>
      </c>
      <c r="AZ28" s="7">
        <v>-25650</v>
      </c>
      <c r="BA28" s="7">
        <v>379457</v>
      </c>
      <c r="BB28" s="7">
        <v>366171</v>
      </c>
      <c r="BC28" s="7">
        <v>1335918</v>
      </c>
      <c r="BD28" s="7">
        <v>1702089</v>
      </c>
      <c r="BE28" s="7">
        <v>40</v>
      </c>
      <c r="BF28" s="7">
        <v>73</v>
      </c>
      <c r="BG28" s="8">
        <v>9.35</v>
      </c>
      <c r="BH28" s="8">
        <v>35</v>
      </c>
      <c r="BI28" s="7">
        <v>23</v>
      </c>
      <c r="BJ28" s="7">
        <v>29</v>
      </c>
      <c r="BK28" s="8">
        <v>12</v>
      </c>
      <c r="BL28" s="6" t="s">
        <v>100</v>
      </c>
      <c r="BM28" s="6" t="s">
        <v>101</v>
      </c>
      <c r="BN28" s="6" t="s">
        <v>126</v>
      </c>
      <c r="BO28" s="6" t="s">
        <v>127</v>
      </c>
      <c r="BP28" s="6" t="s">
        <v>104</v>
      </c>
      <c r="BQ28" s="6" t="s">
        <v>105</v>
      </c>
      <c r="BR28" s="6" t="s">
        <v>128</v>
      </c>
      <c r="BS28" s="7">
        <v>2006</v>
      </c>
      <c r="BT28" s="6" t="s">
        <v>107</v>
      </c>
      <c r="BU28" s="6" t="s">
        <v>108</v>
      </c>
      <c r="BV28" s="6" t="s">
        <v>109</v>
      </c>
      <c r="BW28" s="6" t="s">
        <v>110</v>
      </c>
      <c r="BX28" s="6" t="s">
        <v>111</v>
      </c>
      <c r="BY28" s="7" t="b">
        <f t="shared" si="20"/>
        <v>1</v>
      </c>
      <c r="BZ28" s="7" t="b">
        <f t="shared" si="0"/>
        <v>1</v>
      </c>
      <c r="CA28" s="7" t="b">
        <f t="shared" si="1"/>
        <v>1</v>
      </c>
      <c r="CB28" s="7" t="b">
        <f t="shared" si="2"/>
        <v>1</v>
      </c>
      <c r="CC28" s="9">
        <f t="shared" si="3"/>
        <v>9.50034144412896</v>
      </c>
      <c r="CD28" s="9">
        <f t="shared" si="4"/>
        <v>32.3538679484335</v>
      </c>
      <c r="CE28" s="9">
        <f t="shared" si="5"/>
        <v>16.2001071348389</v>
      </c>
      <c r="CF28" s="9">
        <f t="shared" si="6"/>
        <v>10.523962886181</v>
      </c>
      <c r="CG28" s="9">
        <f t="shared" si="7"/>
        <v>2.58341720481603</v>
      </c>
      <c r="CH28" s="9">
        <f t="shared" si="8"/>
        <v>1.99026280146965</v>
      </c>
      <c r="CI28" s="9">
        <f t="shared" si="9"/>
        <v>32.2817920954056</v>
      </c>
      <c r="CJ28" s="9">
        <f t="shared" si="10"/>
        <v>0.602936550246121</v>
      </c>
      <c r="CK28" s="9">
        <f t="shared" si="11"/>
        <v>7.73801299547715</v>
      </c>
      <c r="CL28" s="9">
        <f t="shared" si="12"/>
        <v>14.075242444609</v>
      </c>
      <c r="CM28" s="9">
        <f t="shared" si="13"/>
        <v>1.15286034195605</v>
      </c>
      <c r="CN28" s="10">
        <f t="shared" si="14"/>
        <v>4042</v>
      </c>
      <c r="CO28" s="11">
        <f t="shared" si="15"/>
        <v>48.3309662354577</v>
      </c>
      <c r="CP28" s="11">
        <f t="shared" si="16"/>
        <v>81.2449039897599</v>
      </c>
      <c r="CQ28" s="11">
        <f t="shared" si="17"/>
        <v>55.4071652742505</v>
      </c>
      <c r="CR28" s="9">
        <f t="shared" si="18"/>
        <v>4.19071272097407</v>
      </c>
      <c r="CS28" s="10">
        <f t="shared" si="19"/>
        <v>1692825</v>
      </c>
    </row>
    <row r="29" spans="1:97">
      <c r="A29" s="6" t="s">
        <v>125</v>
      </c>
      <c r="B29" s="7">
        <v>2025</v>
      </c>
      <c r="C29" s="7">
        <v>3291218</v>
      </c>
      <c r="D29" s="7">
        <v>2243756</v>
      </c>
      <c r="E29" s="7">
        <v>1047462</v>
      </c>
      <c r="F29" s="7">
        <v>242479</v>
      </c>
      <c r="G29" s="7">
        <v>180075</v>
      </c>
      <c r="H29" s="7">
        <v>101843</v>
      </c>
      <c r="I29" s="7">
        <v>523065</v>
      </c>
      <c r="J29" s="7">
        <v>30638</v>
      </c>
      <c r="K29" s="7">
        <v>177392</v>
      </c>
      <c r="L29" s="7">
        <v>2762</v>
      </c>
      <c r="M29" s="7">
        <v>379073</v>
      </c>
      <c r="N29" s="7">
        <v>75815</v>
      </c>
      <c r="O29" s="7">
        <v>303258</v>
      </c>
      <c r="P29" s="7">
        <v>2143182</v>
      </c>
      <c r="Q29" s="7">
        <v>468886</v>
      </c>
      <c r="R29" s="7">
        <v>540960</v>
      </c>
      <c r="S29" s="7">
        <v>158632</v>
      </c>
      <c r="T29" s="7">
        <v>3311660</v>
      </c>
      <c r="U29" s="7">
        <v>1809723</v>
      </c>
      <c r="V29" s="7">
        <v>62042</v>
      </c>
      <c r="W29" s="7">
        <v>77444</v>
      </c>
      <c r="X29" s="7">
        <v>58242</v>
      </c>
      <c r="Y29" s="7">
        <v>5319111</v>
      </c>
      <c r="Z29" s="7">
        <v>668117</v>
      </c>
      <c r="AA29" s="7">
        <v>362689</v>
      </c>
      <c r="AB29" s="7">
        <v>254948</v>
      </c>
      <c r="AC29" s="7">
        <v>1285754</v>
      </c>
      <c r="AD29" s="7">
        <v>1240789</v>
      </c>
      <c r="AE29" s="7">
        <v>88140</v>
      </c>
      <c r="AF29" s="7">
        <v>2614683</v>
      </c>
      <c r="AG29" s="7">
        <v>774000</v>
      </c>
      <c r="AH29" s="7">
        <v>1855178</v>
      </c>
      <c r="AI29" s="7">
        <v>75250</v>
      </c>
      <c r="AJ29" s="7">
        <v>2704428</v>
      </c>
      <c r="AK29" s="7">
        <v>5319111</v>
      </c>
      <c r="AL29" s="7">
        <v>-43193</v>
      </c>
      <c r="AM29" s="7">
        <v>-55372</v>
      </c>
      <c r="AN29" s="7">
        <v>-10081</v>
      </c>
      <c r="AO29" s="7">
        <v>35199</v>
      </c>
      <c r="AP29" s="7">
        <v>25175</v>
      </c>
      <c r="AQ29" s="7">
        <v>3166</v>
      </c>
      <c r="AR29" s="7">
        <v>359995</v>
      </c>
      <c r="AS29" s="7">
        <v>-329122</v>
      </c>
      <c r="AT29" s="7">
        <v>-6261</v>
      </c>
      <c r="AU29" s="7">
        <v>1664</v>
      </c>
      <c r="AV29" s="7">
        <v>-7447</v>
      </c>
      <c r="AW29" s="7">
        <v>-341166</v>
      </c>
      <c r="AX29" s="7">
        <v>446525</v>
      </c>
      <c r="AY29" s="7">
        <v>0</v>
      </c>
      <c r="AZ29" s="7">
        <v>-24261</v>
      </c>
      <c r="BA29" s="7">
        <v>422264</v>
      </c>
      <c r="BB29" s="7">
        <v>441093</v>
      </c>
      <c r="BC29" s="7">
        <v>1702089</v>
      </c>
      <c r="BD29" s="7">
        <v>2143182</v>
      </c>
      <c r="BE29" s="7">
        <v>42</v>
      </c>
      <c r="BF29" s="7">
        <v>81</v>
      </c>
      <c r="BG29" s="8">
        <v>10.52</v>
      </c>
      <c r="BH29" s="8">
        <v>35</v>
      </c>
      <c r="BI29" s="7">
        <v>20</v>
      </c>
      <c r="BJ29" s="7">
        <v>8</v>
      </c>
      <c r="BK29" s="8">
        <v>10</v>
      </c>
      <c r="BL29" s="6" t="s">
        <v>100</v>
      </c>
      <c r="BM29" s="6" t="s">
        <v>101</v>
      </c>
      <c r="BN29" s="6" t="s">
        <v>126</v>
      </c>
      <c r="BO29" s="6" t="s">
        <v>127</v>
      </c>
      <c r="BP29" s="6" t="s">
        <v>104</v>
      </c>
      <c r="BQ29" s="6" t="s">
        <v>105</v>
      </c>
      <c r="BR29" s="6" t="s">
        <v>128</v>
      </c>
      <c r="BS29" s="7">
        <v>2006</v>
      </c>
      <c r="BT29" s="6" t="s">
        <v>107</v>
      </c>
      <c r="BU29" s="6" t="s">
        <v>108</v>
      </c>
      <c r="BV29" s="6" t="s">
        <v>109</v>
      </c>
      <c r="BW29" s="6" t="s">
        <v>110</v>
      </c>
      <c r="BX29" s="6" t="s">
        <v>111</v>
      </c>
      <c r="BY29" s="7" t="b">
        <f t="shared" si="20"/>
        <v>1</v>
      </c>
      <c r="BZ29" s="7" t="b">
        <f t="shared" si="0"/>
        <v>1</v>
      </c>
      <c r="CA29" s="7" t="b">
        <f t="shared" si="1"/>
        <v>1</v>
      </c>
      <c r="CB29" s="7" t="b">
        <f t="shared" si="2"/>
        <v>1</v>
      </c>
      <c r="CC29" s="9">
        <f t="shared" si="3"/>
        <v>8.0282200518081</v>
      </c>
      <c r="CD29" s="9">
        <f t="shared" si="4"/>
        <v>31.8259683800951</v>
      </c>
      <c r="CE29" s="9">
        <f t="shared" si="5"/>
        <v>15.8927485204566</v>
      </c>
      <c r="CF29" s="9">
        <f t="shared" si="6"/>
        <v>9.21415719043831</v>
      </c>
      <c r="CG29" s="9">
        <f t="shared" si="7"/>
        <v>2.57565599640367</v>
      </c>
      <c r="CH29" s="9">
        <f t="shared" si="8"/>
        <v>2.03154569225528</v>
      </c>
      <c r="CI29" s="9">
        <f t="shared" si="9"/>
        <v>35.8876887509962</v>
      </c>
      <c r="CJ29" s="9">
        <f t="shared" si="10"/>
        <v>0.705844637017514</v>
      </c>
      <c r="CK29" s="9">
        <f t="shared" si="11"/>
        <v>6.15804799597123</v>
      </c>
      <c r="CL29" s="9">
        <f t="shared" si="12"/>
        <v>11.8232489430996</v>
      </c>
      <c r="CM29" s="9">
        <f t="shared" si="13"/>
        <v>1.1870915194323</v>
      </c>
      <c r="CN29" s="10">
        <f t="shared" si="14"/>
        <v>30873</v>
      </c>
      <c r="CO29" s="11">
        <f t="shared" si="15"/>
        <v>49.6049388098874</v>
      </c>
      <c r="CP29" s="11">
        <f t="shared" si="16"/>
        <v>83.4961600102685</v>
      </c>
      <c r="CQ29" s="11">
        <f t="shared" si="17"/>
        <v>56.1369718899916</v>
      </c>
      <c r="CR29" s="9">
        <f t="shared" si="18"/>
        <v>2.94863917200325</v>
      </c>
      <c r="CS29" s="10">
        <f t="shared" si="19"/>
        <v>2025906</v>
      </c>
    </row>
    <row r="30" spans="1:97">
      <c r="A30" s="6" t="s">
        <v>129</v>
      </c>
      <c r="B30" s="7">
        <v>2021</v>
      </c>
      <c r="C30" s="7">
        <v>1054971</v>
      </c>
      <c r="D30" s="7">
        <v>683810</v>
      </c>
      <c r="E30" s="7">
        <v>371161</v>
      </c>
      <c r="F30" s="7">
        <v>79976</v>
      </c>
      <c r="G30" s="7">
        <v>58981</v>
      </c>
      <c r="H30" s="7">
        <v>28945</v>
      </c>
      <c r="I30" s="7">
        <v>203259</v>
      </c>
      <c r="J30" s="7">
        <v>4007</v>
      </c>
      <c r="K30" s="7">
        <v>11650</v>
      </c>
      <c r="L30" s="7">
        <v>106</v>
      </c>
      <c r="M30" s="7">
        <v>195722</v>
      </c>
      <c r="N30" s="7">
        <v>39144</v>
      </c>
      <c r="O30" s="7">
        <v>156578</v>
      </c>
      <c r="P30" s="7">
        <v>331197</v>
      </c>
      <c r="Q30" s="7">
        <v>132955</v>
      </c>
      <c r="R30" s="7">
        <v>142382</v>
      </c>
      <c r="S30" s="7">
        <v>47863</v>
      </c>
      <c r="T30" s="7">
        <v>654397</v>
      </c>
      <c r="U30" s="7">
        <v>396204</v>
      </c>
      <c r="V30" s="7">
        <v>17964</v>
      </c>
      <c r="W30" s="7">
        <v>25681</v>
      </c>
      <c r="X30" s="7">
        <v>20099</v>
      </c>
      <c r="Y30" s="7">
        <v>1114345</v>
      </c>
      <c r="Z30" s="7">
        <v>66463</v>
      </c>
      <c r="AA30" s="7">
        <v>103040</v>
      </c>
      <c r="AB30" s="7">
        <v>82216</v>
      </c>
      <c r="AC30" s="7">
        <v>251719</v>
      </c>
      <c r="AD30" s="7">
        <v>123432</v>
      </c>
      <c r="AE30" s="7">
        <v>28860</v>
      </c>
      <c r="AF30" s="7">
        <v>404011</v>
      </c>
      <c r="AG30" s="7">
        <v>352800</v>
      </c>
      <c r="AH30" s="7">
        <v>323234</v>
      </c>
      <c r="AI30" s="7">
        <v>34300</v>
      </c>
      <c r="AJ30" s="7">
        <v>710334</v>
      </c>
      <c r="AK30" s="7">
        <v>1114345</v>
      </c>
      <c r="AL30" s="7">
        <v>-17503</v>
      </c>
      <c r="AM30" s="7">
        <v>-18472</v>
      </c>
      <c r="AN30" s="7">
        <v>1137</v>
      </c>
      <c r="AO30" s="7">
        <v>10544</v>
      </c>
      <c r="AP30" s="7">
        <v>8716</v>
      </c>
      <c r="AQ30" s="7">
        <v>1420</v>
      </c>
      <c r="AR30" s="7">
        <v>171365</v>
      </c>
      <c r="AS30" s="7">
        <v>-52749</v>
      </c>
      <c r="AT30" s="7">
        <v>-324</v>
      </c>
      <c r="AU30" s="7">
        <v>-1181</v>
      </c>
      <c r="AV30" s="7">
        <v>-2459</v>
      </c>
      <c r="AW30" s="7">
        <v>-56713</v>
      </c>
      <c r="AX30" s="7">
        <v>33095</v>
      </c>
      <c r="AY30" s="7">
        <v>0</v>
      </c>
      <c r="AZ30" s="7">
        <v>-39144</v>
      </c>
      <c r="BA30" s="7">
        <v>-6049</v>
      </c>
      <c r="BB30" s="7">
        <v>108603</v>
      </c>
      <c r="BC30" s="7">
        <v>222594</v>
      </c>
      <c r="BD30" s="7">
        <v>331197</v>
      </c>
      <c r="BE30" s="7">
        <v>42</v>
      </c>
      <c r="BF30" s="7">
        <v>64</v>
      </c>
      <c r="BG30" s="8">
        <v>6.72</v>
      </c>
      <c r="BH30" s="8">
        <v>35</v>
      </c>
      <c r="BI30" s="7">
        <v>17</v>
      </c>
      <c r="BJ30" s="7">
        <v>4</v>
      </c>
      <c r="BK30" s="8">
        <v>5</v>
      </c>
      <c r="BL30" s="6" t="s">
        <v>100</v>
      </c>
      <c r="BM30" s="6" t="s">
        <v>101</v>
      </c>
      <c r="BN30" s="6" t="s">
        <v>130</v>
      </c>
      <c r="BO30" s="6" t="s">
        <v>131</v>
      </c>
      <c r="BP30" s="6" t="s">
        <v>104</v>
      </c>
      <c r="BQ30" s="6" t="s">
        <v>105</v>
      </c>
      <c r="BR30" s="6" t="s">
        <v>132</v>
      </c>
      <c r="BS30" s="7">
        <v>2008</v>
      </c>
      <c r="BT30" s="6" t="s">
        <v>107</v>
      </c>
      <c r="BU30" s="6" t="s">
        <v>108</v>
      </c>
      <c r="BV30" s="6" t="s">
        <v>109</v>
      </c>
      <c r="BW30" s="6" t="s">
        <v>110</v>
      </c>
      <c r="BX30" s="6" t="s">
        <v>120</v>
      </c>
      <c r="BY30" s="7" t="b">
        <f t="shared" si="20"/>
        <v>1</v>
      </c>
      <c r="BZ30" s="7" t="b">
        <f t="shared" si="0"/>
        <v>1</v>
      </c>
      <c r="CA30" s="7" t="b">
        <f t="shared" si="1"/>
        <v>1</v>
      </c>
      <c r="CB30" s="7" t="b">
        <f t="shared" si="2"/>
        <v>1</v>
      </c>
      <c r="CC30" s="9" t="str">
        <f t="shared" si="3"/>
        <v/>
      </c>
      <c r="CD30" s="9">
        <f t="shared" si="4"/>
        <v>35.1821045317833</v>
      </c>
      <c r="CE30" s="9">
        <f t="shared" si="5"/>
        <v>19.2667855324933</v>
      </c>
      <c r="CF30" s="9">
        <f t="shared" si="6"/>
        <v>14.8419245647511</v>
      </c>
      <c r="CG30" s="9">
        <f t="shared" si="7"/>
        <v>2.599712377691</v>
      </c>
      <c r="CH30" s="9">
        <f t="shared" si="8"/>
        <v>1.84392914321128</v>
      </c>
      <c r="CI30" s="9">
        <f t="shared" si="9"/>
        <v>17.0409523083067</v>
      </c>
      <c r="CJ30" s="9">
        <f t="shared" si="10"/>
        <v>0.267331987487576</v>
      </c>
      <c r="CK30" s="9" t="str">
        <f t="shared" si="11"/>
        <v/>
      </c>
      <c r="CL30" s="9" t="str">
        <f t="shared" si="12"/>
        <v/>
      </c>
      <c r="CM30" s="9">
        <f t="shared" si="13"/>
        <v>1.09443855458621</v>
      </c>
      <c r="CN30" s="10">
        <f t="shared" si="14"/>
        <v>118616</v>
      </c>
      <c r="CO30" s="11" t="str">
        <f t="shared" si="15"/>
        <v/>
      </c>
      <c r="CP30" s="11" t="str">
        <f t="shared" si="16"/>
        <v/>
      </c>
      <c r="CQ30" s="11" t="str">
        <f t="shared" si="17"/>
        <v/>
      </c>
      <c r="CR30" s="9">
        <f t="shared" si="18"/>
        <v>17.4471244635193</v>
      </c>
      <c r="CS30" s="10">
        <f t="shared" si="19"/>
        <v>402678</v>
      </c>
    </row>
    <row r="31" spans="1:97">
      <c r="A31" s="6" t="s">
        <v>129</v>
      </c>
      <c r="B31" s="7">
        <v>2022</v>
      </c>
      <c r="C31" s="7">
        <v>1129023</v>
      </c>
      <c r="D31" s="7">
        <v>758658</v>
      </c>
      <c r="E31" s="7">
        <v>370365</v>
      </c>
      <c r="F31" s="7">
        <v>88265</v>
      </c>
      <c r="G31" s="7">
        <v>64001</v>
      </c>
      <c r="H31" s="7">
        <v>31184</v>
      </c>
      <c r="I31" s="7">
        <v>186915</v>
      </c>
      <c r="J31" s="7">
        <v>5962</v>
      </c>
      <c r="K31" s="7">
        <v>14133</v>
      </c>
      <c r="L31" s="7">
        <v>3287</v>
      </c>
      <c r="M31" s="7">
        <v>182031</v>
      </c>
      <c r="N31" s="7">
        <v>36406</v>
      </c>
      <c r="O31" s="7">
        <v>145625</v>
      </c>
      <c r="P31" s="7">
        <v>407711</v>
      </c>
      <c r="Q31" s="7">
        <v>145381</v>
      </c>
      <c r="R31" s="7">
        <v>162124</v>
      </c>
      <c r="S31" s="7">
        <v>54906</v>
      </c>
      <c r="T31" s="7">
        <v>770122</v>
      </c>
      <c r="U31" s="7">
        <v>421471</v>
      </c>
      <c r="V31" s="7">
        <v>19934</v>
      </c>
      <c r="W31" s="7">
        <v>28231</v>
      </c>
      <c r="X31" s="7">
        <v>20949</v>
      </c>
      <c r="Y31" s="7">
        <v>1260707</v>
      </c>
      <c r="Z31" s="7">
        <v>75080</v>
      </c>
      <c r="AA31" s="7">
        <v>114318</v>
      </c>
      <c r="AB31" s="7">
        <v>83013</v>
      </c>
      <c r="AC31" s="7">
        <v>272411</v>
      </c>
      <c r="AD31" s="7">
        <v>139434</v>
      </c>
      <c r="AE31" s="7">
        <v>29309</v>
      </c>
      <c r="AF31" s="7">
        <v>441154</v>
      </c>
      <c r="AG31" s="7">
        <v>352800</v>
      </c>
      <c r="AH31" s="7">
        <v>432453</v>
      </c>
      <c r="AI31" s="7">
        <v>34300</v>
      </c>
      <c r="AJ31" s="7">
        <v>819553</v>
      </c>
      <c r="AK31" s="7">
        <v>1260707</v>
      </c>
      <c r="AL31" s="7">
        <v>-12426</v>
      </c>
      <c r="AM31" s="7">
        <v>-19742</v>
      </c>
      <c r="AN31" s="7">
        <v>-7043</v>
      </c>
      <c r="AO31" s="7">
        <v>11278</v>
      </c>
      <c r="AP31" s="7">
        <v>797</v>
      </c>
      <c r="AQ31" s="7">
        <v>449</v>
      </c>
      <c r="AR31" s="7">
        <v>150122</v>
      </c>
      <c r="AS31" s="7">
        <v>-56451</v>
      </c>
      <c r="AT31" s="7">
        <v>-1970</v>
      </c>
      <c r="AU31" s="7">
        <v>-2550</v>
      </c>
      <c r="AV31" s="7">
        <v>-850</v>
      </c>
      <c r="AW31" s="7">
        <v>-61821</v>
      </c>
      <c r="AX31" s="7">
        <v>24619</v>
      </c>
      <c r="AY31" s="7">
        <v>0</v>
      </c>
      <c r="AZ31" s="7">
        <v>-36406</v>
      </c>
      <c r="BA31" s="7">
        <v>-11787</v>
      </c>
      <c r="BB31" s="7">
        <v>76514</v>
      </c>
      <c r="BC31" s="7">
        <v>331197</v>
      </c>
      <c r="BD31" s="7">
        <v>407711</v>
      </c>
      <c r="BE31" s="7">
        <v>37</v>
      </c>
      <c r="BF31" s="7">
        <v>66</v>
      </c>
      <c r="BG31" s="8">
        <v>6.99</v>
      </c>
      <c r="BH31" s="8">
        <v>35</v>
      </c>
      <c r="BI31" s="7">
        <v>19</v>
      </c>
      <c r="BJ31" s="7">
        <v>6</v>
      </c>
      <c r="BK31" s="8">
        <v>5</v>
      </c>
      <c r="BL31" s="6" t="s">
        <v>100</v>
      </c>
      <c r="BM31" s="6" t="s">
        <v>101</v>
      </c>
      <c r="BN31" s="6" t="s">
        <v>130</v>
      </c>
      <c r="BO31" s="6" t="s">
        <v>131</v>
      </c>
      <c r="BP31" s="6" t="s">
        <v>104</v>
      </c>
      <c r="BQ31" s="6" t="s">
        <v>105</v>
      </c>
      <c r="BR31" s="6" t="s">
        <v>132</v>
      </c>
      <c r="BS31" s="7">
        <v>2008</v>
      </c>
      <c r="BT31" s="6" t="s">
        <v>107</v>
      </c>
      <c r="BU31" s="6" t="s">
        <v>108</v>
      </c>
      <c r="BV31" s="6" t="s">
        <v>109</v>
      </c>
      <c r="BW31" s="6" t="s">
        <v>110</v>
      </c>
      <c r="BX31" s="6" t="s">
        <v>120</v>
      </c>
      <c r="BY31" s="7" t="b">
        <f t="shared" si="20"/>
        <v>1</v>
      </c>
      <c r="BZ31" s="7" t="b">
        <f t="shared" si="0"/>
        <v>1</v>
      </c>
      <c r="CA31" s="7" t="b">
        <f t="shared" si="1"/>
        <v>1</v>
      </c>
      <c r="CB31" s="7" t="b">
        <f t="shared" si="2"/>
        <v>1</v>
      </c>
      <c r="CC31" s="9">
        <f t="shared" si="3"/>
        <v>7.01933986811012</v>
      </c>
      <c r="CD31" s="9">
        <f t="shared" si="4"/>
        <v>32.8040261358715</v>
      </c>
      <c r="CE31" s="9">
        <f t="shared" si="5"/>
        <v>16.555464326236</v>
      </c>
      <c r="CF31" s="9">
        <f t="shared" si="6"/>
        <v>12.8983200519387</v>
      </c>
      <c r="CG31" s="9">
        <f t="shared" si="7"/>
        <v>2.82705911288458</v>
      </c>
      <c r="CH31" s="9">
        <f t="shared" si="8"/>
        <v>2.0303585391192</v>
      </c>
      <c r="CI31" s="9">
        <f t="shared" si="9"/>
        <v>17.0153731200033</v>
      </c>
      <c r="CJ31" s="9">
        <f t="shared" si="10"/>
        <v>0.261745122036037</v>
      </c>
      <c r="CK31" s="9">
        <f t="shared" si="11"/>
        <v>12.2628894020005</v>
      </c>
      <c r="CL31" s="9">
        <f t="shared" si="12"/>
        <v>19.0373537391977</v>
      </c>
      <c r="CM31" s="9">
        <f t="shared" si="13"/>
        <v>1.03088068669528</v>
      </c>
      <c r="CN31" s="10">
        <f t="shared" si="14"/>
        <v>93671</v>
      </c>
      <c r="CO31" s="11">
        <f t="shared" si="15"/>
        <v>44.9913952151551</v>
      </c>
      <c r="CP31" s="11">
        <f t="shared" si="16"/>
        <v>73.2508521626345</v>
      </c>
      <c r="CQ31" s="11">
        <f t="shared" si="17"/>
        <v>52.2868473014191</v>
      </c>
      <c r="CR31" s="9">
        <f t="shared" si="18"/>
        <v>13.2254298450435</v>
      </c>
      <c r="CS31" s="10">
        <f t="shared" si="19"/>
        <v>497711</v>
      </c>
    </row>
    <row r="32" spans="1:97">
      <c r="A32" s="6" t="s">
        <v>129</v>
      </c>
      <c r="B32" s="7">
        <v>2023</v>
      </c>
      <c r="C32" s="7">
        <v>1191539</v>
      </c>
      <c r="D32" s="7">
        <v>835481</v>
      </c>
      <c r="E32" s="7">
        <v>356058</v>
      </c>
      <c r="F32" s="7">
        <v>96662</v>
      </c>
      <c r="G32" s="7">
        <v>69262</v>
      </c>
      <c r="H32" s="7">
        <v>34452</v>
      </c>
      <c r="I32" s="7">
        <v>155682</v>
      </c>
      <c r="J32" s="7">
        <v>7339</v>
      </c>
      <c r="K32" s="7">
        <v>16396</v>
      </c>
      <c r="L32" s="7">
        <v>2411</v>
      </c>
      <c r="M32" s="7">
        <v>149036</v>
      </c>
      <c r="N32" s="7">
        <v>29807</v>
      </c>
      <c r="O32" s="7">
        <v>119229</v>
      </c>
      <c r="P32" s="7">
        <v>472390</v>
      </c>
      <c r="Q32" s="7">
        <v>156696</v>
      </c>
      <c r="R32" s="7">
        <v>187697</v>
      </c>
      <c r="S32" s="7">
        <v>56605</v>
      </c>
      <c r="T32" s="7">
        <v>873388</v>
      </c>
      <c r="U32" s="7">
        <v>444213</v>
      </c>
      <c r="V32" s="7">
        <v>22240</v>
      </c>
      <c r="W32" s="7">
        <v>29559</v>
      </c>
      <c r="X32" s="7">
        <v>20212</v>
      </c>
      <c r="Y32" s="7">
        <v>1389612</v>
      </c>
      <c r="Z32" s="7">
        <v>83408</v>
      </c>
      <c r="AA32" s="7">
        <v>123605</v>
      </c>
      <c r="AB32" s="7">
        <v>85944</v>
      </c>
      <c r="AC32" s="7">
        <v>292957</v>
      </c>
      <c r="AD32" s="7">
        <v>154900</v>
      </c>
      <c r="AE32" s="7">
        <v>32780</v>
      </c>
      <c r="AF32" s="7">
        <v>480637</v>
      </c>
      <c r="AG32" s="7">
        <v>352800</v>
      </c>
      <c r="AH32" s="7">
        <v>521875</v>
      </c>
      <c r="AI32" s="7">
        <v>34300</v>
      </c>
      <c r="AJ32" s="7">
        <v>908975</v>
      </c>
      <c r="AK32" s="7">
        <v>1389612</v>
      </c>
      <c r="AL32" s="7">
        <v>-11315</v>
      </c>
      <c r="AM32" s="7">
        <v>-25573</v>
      </c>
      <c r="AN32" s="7">
        <v>-1699</v>
      </c>
      <c r="AO32" s="7">
        <v>9287</v>
      </c>
      <c r="AP32" s="7">
        <v>2931</v>
      </c>
      <c r="AQ32" s="7">
        <v>3471</v>
      </c>
      <c r="AR32" s="7">
        <v>130783</v>
      </c>
      <c r="AS32" s="7">
        <v>-57194</v>
      </c>
      <c r="AT32" s="7">
        <v>-2306</v>
      </c>
      <c r="AU32" s="7">
        <v>-1328</v>
      </c>
      <c r="AV32" s="7">
        <v>737</v>
      </c>
      <c r="AW32" s="7">
        <v>-60091</v>
      </c>
      <c r="AX32" s="7">
        <v>23794</v>
      </c>
      <c r="AY32" s="7">
        <v>0</v>
      </c>
      <c r="AZ32" s="7">
        <v>-29807</v>
      </c>
      <c r="BA32" s="7">
        <v>-6013</v>
      </c>
      <c r="BB32" s="7">
        <v>64679</v>
      </c>
      <c r="BC32" s="7">
        <v>407711</v>
      </c>
      <c r="BD32" s="7">
        <v>472390</v>
      </c>
      <c r="BE32" s="7">
        <v>41</v>
      </c>
      <c r="BF32" s="7">
        <v>75</v>
      </c>
      <c r="BG32" s="8">
        <v>7.24</v>
      </c>
      <c r="BH32" s="8">
        <v>35</v>
      </c>
      <c r="BI32" s="7">
        <v>13</v>
      </c>
      <c r="BJ32" s="7">
        <v>29</v>
      </c>
      <c r="BK32" s="8">
        <v>4.8</v>
      </c>
      <c r="BL32" s="6" t="s">
        <v>100</v>
      </c>
      <c r="BM32" s="6" t="s">
        <v>101</v>
      </c>
      <c r="BN32" s="6" t="s">
        <v>130</v>
      </c>
      <c r="BO32" s="6" t="s">
        <v>131</v>
      </c>
      <c r="BP32" s="6" t="s">
        <v>104</v>
      </c>
      <c r="BQ32" s="6" t="s">
        <v>105</v>
      </c>
      <c r="BR32" s="6" t="s">
        <v>132</v>
      </c>
      <c r="BS32" s="7">
        <v>2008</v>
      </c>
      <c r="BT32" s="6" t="s">
        <v>107</v>
      </c>
      <c r="BU32" s="6" t="s">
        <v>108</v>
      </c>
      <c r="BV32" s="6" t="s">
        <v>109</v>
      </c>
      <c r="BW32" s="6" t="s">
        <v>110</v>
      </c>
      <c r="BX32" s="6" t="s">
        <v>120</v>
      </c>
      <c r="BY32" s="7" t="b">
        <f t="shared" si="20"/>
        <v>1</v>
      </c>
      <c r="BZ32" s="7" t="b">
        <f t="shared" si="0"/>
        <v>1</v>
      </c>
      <c r="CA32" s="7" t="b">
        <f t="shared" si="1"/>
        <v>1</v>
      </c>
      <c r="CB32" s="7" t="b">
        <f t="shared" si="2"/>
        <v>1</v>
      </c>
      <c r="CC32" s="9">
        <f t="shared" si="3"/>
        <v>5.53717683342146</v>
      </c>
      <c r="CD32" s="9">
        <f t="shared" si="4"/>
        <v>29.8821943721523</v>
      </c>
      <c r="CE32" s="9">
        <f t="shared" si="5"/>
        <v>13.0656235339338</v>
      </c>
      <c r="CF32" s="9">
        <f t="shared" si="6"/>
        <v>10.0063027731363</v>
      </c>
      <c r="CG32" s="9">
        <f t="shared" si="7"/>
        <v>2.98128394269466</v>
      </c>
      <c r="CH32" s="9">
        <f t="shared" si="8"/>
        <v>2.14736633703922</v>
      </c>
      <c r="CI32" s="9">
        <f t="shared" si="9"/>
        <v>17.1492474158254</v>
      </c>
      <c r="CJ32" s="9">
        <f t="shared" si="10"/>
        <v>0.262172226958937</v>
      </c>
      <c r="CK32" s="9">
        <f t="shared" si="11"/>
        <v>8.99733201927768</v>
      </c>
      <c r="CL32" s="9">
        <f t="shared" si="12"/>
        <v>13.7954375052067</v>
      </c>
      <c r="CM32" s="9">
        <f t="shared" si="13"/>
        <v>1.09690595408835</v>
      </c>
      <c r="CN32" s="10">
        <f t="shared" si="14"/>
        <v>73589</v>
      </c>
      <c r="CO32" s="11">
        <f t="shared" si="15"/>
        <v>46.267098684978</v>
      </c>
      <c r="CP32" s="11">
        <f t="shared" si="16"/>
        <v>76.413865186641</v>
      </c>
      <c r="CQ32" s="11">
        <f t="shared" si="17"/>
        <v>51.9711968315258</v>
      </c>
      <c r="CR32" s="9">
        <f t="shared" si="18"/>
        <v>9.49512076116126</v>
      </c>
      <c r="CS32" s="10">
        <f t="shared" si="19"/>
        <v>580431</v>
      </c>
    </row>
    <row r="33" spans="1:97">
      <c r="A33" s="6" t="s">
        <v>129</v>
      </c>
      <c r="B33" s="7">
        <v>2024</v>
      </c>
      <c r="C33" s="7">
        <v>1248810</v>
      </c>
      <c r="D33" s="7">
        <v>913104</v>
      </c>
      <c r="E33" s="7">
        <v>335706</v>
      </c>
      <c r="F33" s="7">
        <v>108388</v>
      </c>
      <c r="G33" s="7">
        <v>76231</v>
      </c>
      <c r="H33" s="7">
        <v>36122</v>
      </c>
      <c r="I33" s="7">
        <v>114965</v>
      </c>
      <c r="J33" s="7">
        <v>8503</v>
      </c>
      <c r="K33" s="7">
        <v>19066</v>
      </c>
      <c r="L33" s="7">
        <v>2779</v>
      </c>
      <c r="M33" s="7">
        <v>107181</v>
      </c>
      <c r="N33" s="7">
        <v>21436</v>
      </c>
      <c r="O33" s="7">
        <v>85745</v>
      </c>
      <c r="P33" s="7">
        <v>528125</v>
      </c>
      <c r="Q33" s="7">
        <v>171070</v>
      </c>
      <c r="R33" s="7">
        <v>215142</v>
      </c>
      <c r="S33" s="7">
        <v>58388</v>
      </c>
      <c r="T33" s="7">
        <v>972725</v>
      </c>
      <c r="U33" s="7">
        <v>464287</v>
      </c>
      <c r="V33" s="7">
        <v>21234</v>
      </c>
      <c r="W33" s="7">
        <v>29936</v>
      </c>
      <c r="X33" s="7">
        <v>20611</v>
      </c>
      <c r="Y33" s="7">
        <v>1508793</v>
      </c>
      <c r="Z33" s="7">
        <v>96158</v>
      </c>
      <c r="AA33" s="7">
        <v>132588</v>
      </c>
      <c r="AB33" s="7">
        <v>95464</v>
      </c>
      <c r="AC33" s="7">
        <v>324210</v>
      </c>
      <c r="AD33" s="7">
        <v>178580</v>
      </c>
      <c r="AE33" s="7">
        <v>32719</v>
      </c>
      <c r="AF33" s="7">
        <v>535509</v>
      </c>
      <c r="AG33" s="7">
        <v>352800</v>
      </c>
      <c r="AH33" s="7">
        <v>586184</v>
      </c>
      <c r="AI33" s="7">
        <v>34300</v>
      </c>
      <c r="AJ33" s="7">
        <v>973284</v>
      </c>
      <c r="AK33" s="7">
        <v>1508793</v>
      </c>
      <c r="AL33" s="7">
        <v>-14374</v>
      </c>
      <c r="AM33" s="7">
        <v>-27445</v>
      </c>
      <c r="AN33" s="7">
        <v>-1783</v>
      </c>
      <c r="AO33" s="7">
        <v>8983</v>
      </c>
      <c r="AP33" s="7">
        <v>9520</v>
      </c>
      <c r="AQ33" s="7">
        <v>-61</v>
      </c>
      <c r="AR33" s="7">
        <v>96707</v>
      </c>
      <c r="AS33" s="7">
        <v>-56196</v>
      </c>
      <c r="AT33" s="7">
        <v>1006</v>
      </c>
      <c r="AU33" s="7">
        <v>-377</v>
      </c>
      <c r="AV33" s="7">
        <v>-399</v>
      </c>
      <c r="AW33" s="7">
        <v>-55966</v>
      </c>
      <c r="AX33" s="7">
        <v>36430</v>
      </c>
      <c r="AY33" s="7">
        <v>0</v>
      </c>
      <c r="AZ33" s="7">
        <v>-21436</v>
      </c>
      <c r="BA33" s="7">
        <v>14994</v>
      </c>
      <c r="BB33" s="7">
        <v>55735</v>
      </c>
      <c r="BC33" s="7">
        <v>472390</v>
      </c>
      <c r="BD33" s="7">
        <v>528125</v>
      </c>
      <c r="BE33" s="7">
        <v>40</v>
      </c>
      <c r="BF33" s="7">
        <v>78</v>
      </c>
      <c r="BG33" s="8">
        <v>7.43</v>
      </c>
      <c r="BH33" s="8">
        <v>35</v>
      </c>
      <c r="BI33" s="7">
        <v>19</v>
      </c>
      <c r="BJ33" s="7">
        <v>25</v>
      </c>
      <c r="BK33" s="8">
        <v>4.5</v>
      </c>
      <c r="BL33" s="6" t="s">
        <v>100</v>
      </c>
      <c r="BM33" s="6" t="s">
        <v>101</v>
      </c>
      <c r="BN33" s="6" t="s">
        <v>130</v>
      </c>
      <c r="BO33" s="6" t="s">
        <v>131</v>
      </c>
      <c r="BP33" s="6" t="s">
        <v>104</v>
      </c>
      <c r="BQ33" s="6" t="s">
        <v>105</v>
      </c>
      <c r="BR33" s="6" t="s">
        <v>132</v>
      </c>
      <c r="BS33" s="7">
        <v>2008</v>
      </c>
      <c r="BT33" s="6" t="s">
        <v>107</v>
      </c>
      <c r="BU33" s="6" t="s">
        <v>108</v>
      </c>
      <c r="BV33" s="6" t="s">
        <v>109</v>
      </c>
      <c r="BW33" s="6" t="s">
        <v>110</v>
      </c>
      <c r="BX33" s="6" t="s">
        <v>120</v>
      </c>
      <c r="BY33" s="7" t="b">
        <f t="shared" si="20"/>
        <v>1</v>
      </c>
      <c r="BZ33" s="7" t="b">
        <f t="shared" si="0"/>
        <v>1</v>
      </c>
      <c r="CA33" s="7" t="b">
        <f t="shared" si="1"/>
        <v>1</v>
      </c>
      <c r="CB33" s="7" t="b">
        <f t="shared" si="2"/>
        <v>1</v>
      </c>
      <c r="CC33" s="9">
        <f t="shared" si="3"/>
        <v>4.80647297318846</v>
      </c>
      <c r="CD33" s="9">
        <f t="shared" si="4"/>
        <v>26.8820717322891</v>
      </c>
      <c r="CE33" s="9">
        <f t="shared" si="5"/>
        <v>9.20596407780207</v>
      </c>
      <c r="CF33" s="9">
        <f t="shared" si="6"/>
        <v>6.86613656200703</v>
      </c>
      <c r="CG33" s="9">
        <f t="shared" si="7"/>
        <v>3.0002930199562</v>
      </c>
      <c r="CH33" s="9">
        <f t="shared" si="8"/>
        <v>2.15661145553808</v>
      </c>
      <c r="CI33" s="9">
        <f t="shared" si="9"/>
        <v>18.2091247772226</v>
      </c>
      <c r="CJ33" s="9">
        <f t="shared" si="10"/>
        <v>0.282279375803979</v>
      </c>
      <c r="CK33" s="9">
        <f t="shared" si="11"/>
        <v>5.91670246221629</v>
      </c>
      <c r="CL33" s="9">
        <f t="shared" si="12"/>
        <v>9.11086093890373</v>
      </c>
      <c r="CM33" s="9">
        <f t="shared" si="13"/>
        <v>1.12784418916555</v>
      </c>
      <c r="CN33" s="10">
        <f t="shared" si="14"/>
        <v>40511</v>
      </c>
      <c r="CO33" s="11">
        <f t="shared" si="15"/>
        <v>47.8994362633227</v>
      </c>
      <c r="CP33" s="11">
        <f t="shared" si="16"/>
        <v>80.5145060146489</v>
      </c>
      <c r="CQ33" s="11">
        <f t="shared" si="17"/>
        <v>51.2047066927754</v>
      </c>
      <c r="CR33" s="9">
        <f t="shared" si="18"/>
        <v>6.0298437008287</v>
      </c>
      <c r="CS33" s="10">
        <f t="shared" si="19"/>
        <v>648515</v>
      </c>
    </row>
    <row r="34" spans="1:97">
      <c r="A34" s="6" t="s">
        <v>129</v>
      </c>
      <c r="B34" s="7">
        <v>2025</v>
      </c>
      <c r="C34" s="7">
        <v>1299735</v>
      </c>
      <c r="D34" s="7">
        <v>1001075</v>
      </c>
      <c r="E34" s="7">
        <v>298660</v>
      </c>
      <c r="F34" s="7">
        <v>117318</v>
      </c>
      <c r="G34" s="7">
        <v>79228</v>
      </c>
      <c r="H34" s="7">
        <v>37445</v>
      </c>
      <c r="I34" s="7">
        <v>64669</v>
      </c>
      <c r="J34" s="7">
        <v>9506</v>
      </c>
      <c r="K34" s="7">
        <v>23607</v>
      </c>
      <c r="L34" s="7">
        <v>-430</v>
      </c>
      <c r="M34" s="7">
        <v>50138</v>
      </c>
      <c r="N34" s="7">
        <v>10028</v>
      </c>
      <c r="O34" s="7">
        <v>40110</v>
      </c>
      <c r="P34" s="7">
        <v>548039</v>
      </c>
      <c r="Q34" s="7">
        <v>185168</v>
      </c>
      <c r="R34" s="7">
        <v>246840</v>
      </c>
      <c r="S34" s="7">
        <v>62925</v>
      </c>
      <c r="T34" s="7">
        <v>1042972</v>
      </c>
      <c r="U34" s="7">
        <v>478831</v>
      </c>
      <c r="V34" s="7">
        <v>24246</v>
      </c>
      <c r="W34" s="7">
        <v>32387</v>
      </c>
      <c r="X34" s="7">
        <v>23792</v>
      </c>
      <c r="Y34" s="7">
        <v>1602228</v>
      </c>
      <c r="Z34" s="7">
        <v>113727</v>
      </c>
      <c r="AA34" s="7">
        <v>142619</v>
      </c>
      <c r="AB34" s="7">
        <v>99407</v>
      </c>
      <c r="AC34" s="7">
        <v>355753</v>
      </c>
      <c r="AD34" s="7">
        <v>211207</v>
      </c>
      <c r="AE34" s="7">
        <v>31902</v>
      </c>
      <c r="AF34" s="7">
        <v>598862</v>
      </c>
      <c r="AG34" s="7">
        <v>352800</v>
      </c>
      <c r="AH34" s="7">
        <v>616266</v>
      </c>
      <c r="AI34" s="7">
        <v>34300</v>
      </c>
      <c r="AJ34" s="7">
        <v>1003366</v>
      </c>
      <c r="AK34" s="7">
        <v>1602228</v>
      </c>
      <c r="AL34" s="7">
        <v>-14098</v>
      </c>
      <c r="AM34" s="7">
        <v>-31698</v>
      </c>
      <c r="AN34" s="7">
        <v>-4537</v>
      </c>
      <c r="AO34" s="7">
        <v>10031</v>
      </c>
      <c r="AP34" s="7">
        <v>3943</v>
      </c>
      <c r="AQ34" s="7">
        <v>-817</v>
      </c>
      <c r="AR34" s="7">
        <v>40379</v>
      </c>
      <c r="AS34" s="7">
        <v>-51989</v>
      </c>
      <c r="AT34" s="7">
        <v>-3012</v>
      </c>
      <c r="AU34" s="7">
        <v>-2451</v>
      </c>
      <c r="AV34" s="7">
        <v>-3181</v>
      </c>
      <c r="AW34" s="7">
        <v>-60633</v>
      </c>
      <c r="AX34" s="7">
        <v>50196</v>
      </c>
      <c r="AY34" s="7">
        <v>0</v>
      </c>
      <c r="AZ34" s="7">
        <v>-10028</v>
      </c>
      <c r="BA34" s="7">
        <v>40168</v>
      </c>
      <c r="BB34" s="7">
        <v>19914</v>
      </c>
      <c r="BC34" s="7">
        <v>528125</v>
      </c>
      <c r="BD34" s="7">
        <v>548039</v>
      </c>
      <c r="BE34" s="7">
        <v>49</v>
      </c>
      <c r="BF34" s="7">
        <v>80</v>
      </c>
      <c r="BG34" s="8">
        <v>7.87</v>
      </c>
      <c r="BH34" s="8">
        <v>35</v>
      </c>
      <c r="BI34" s="7">
        <v>23</v>
      </c>
      <c r="BJ34" s="7">
        <v>23</v>
      </c>
      <c r="BK34" s="8">
        <v>4</v>
      </c>
      <c r="BL34" s="6" t="s">
        <v>100</v>
      </c>
      <c r="BM34" s="6" t="s">
        <v>101</v>
      </c>
      <c r="BN34" s="6" t="s">
        <v>130</v>
      </c>
      <c r="BO34" s="6" t="s">
        <v>131</v>
      </c>
      <c r="BP34" s="6" t="s">
        <v>104</v>
      </c>
      <c r="BQ34" s="6" t="s">
        <v>105</v>
      </c>
      <c r="BR34" s="6" t="s">
        <v>132</v>
      </c>
      <c r="BS34" s="7">
        <v>2008</v>
      </c>
      <c r="BT34" s="6" t="s">
        <v>107</v>
      </c>
      <c r="BU34" s="6" t="s">
        <v>108</v>
      </c>
      <c r="BV34" s="6" t="s">
        <v>109</v>
      </c>
      <c r="BW34" s="6" t="s">
        <v>110</v>
      </c>
      <c r="BX34" s="6" t="s">
        <v>120</v>
      </c>
      <c r="BY34" s="7" t="b">
        <f t="shared" si="20"/>
        <v>1</v>
      </c>
      <c r="BZ34" s="7" t="b">
        <f t="shared" si="0"/>
        <v>1</v>
      </c>
      <c r="CA34" s="7" t="b">
        <f t="shared" si="1"/>
        <v>1</v>
      </c>
      <c r="CB34" s="7" t="b">
        <f t="shared" si="2"/>
        <v>1</v>
      </c>
      <c r="CC34" s="9">
        <f t="shared" si="3"/>
        <v>4.0778821438009</v>
      </c>
      <c r="CD34" s="9">
        <f t="shared" si="4"/>
        <v>22.9785302388564</v>
      </c>
      <c r="CE34" s="9">
        <f t="shared" si="5"/>
        <v>4.97555270882141</v>
      </c>
      <c r="CF34" s="9">
        <f t="shared" si="6"/>
        <v>3.08601368740551</v>
      </c>
      <c r="CG34" s="9">
        <f t="shared" si="7"/>
        <v>2.93173072328273</v>
      </c>
      <c r="CH34" s="9">
        <f t="shared" si="8"/>
        <v>2.06100018833292</v>
      </c>
      <c r="CI34" s="9">
        <f t="shared" si="9"/>
        <v>20.2801349121349</v>
      </c>
      <c r="CJ34" s="9">
        <f t="shared" si="10"/>
        <v>0.323843941293606</v>
      </c>
      <c r="CK34" s="9">
        <f t="shared" si="11"/>
        <v>2.57857468657396</v>
      </c>
      <c r="CL34" s="9">
        <f t="shared" si="12"/>
        <v>4.05838160524119</v>
      </c>
      <c r="CM34" s="9">
        <f t="shared" si="13"/>
        <v>1.00670655696834</v>
      </c>
      <c r="CN34" s="10">
        <f t="shared" si="14"/>
        <v>-11610</v>
      </c>
      <c r="CO34" s="11">
        <f t="shared" si="15"/>
        <v>50.0205311082644</v>
      </c>
      <c r="CP34" s="11">
        <f t="shared" si="16"/>
        <v>84.2211772344729</v>
      </c>
      <c r="CQ34" s="11">
        <f t="shared" si="17"/>
        <v>50.1713433059461</v>
      </c>
      <c r="CR34" s="9">
        <f t="shared" si="18"/>
        <v>2.73939933070699</v>
      </c>
      <c r="CS34" s="10">
        <f t="shared" si="19"/>
        <v>687219</v>
      </c>
    </row>
    <row r="35" spans="1:97">
      <c r="A35" s="6" t="s">
        <v>133</v>
      </c>
      <c r="B35" s="7">
        <v>2021</v>
      </c>
      <c r="C35" s="7">
        <v>944969</v>
      </c>
      <c r="D35" s="7">
        <v>669253</v>
      </c>
      <c r="E35" s="7">
        <v>275716</v>
      </c>
      <c r="F35" s="7">
        <v>76405</v>
      </c>
      <c r="G35" s="7">
        <v>56586</v>
      </c>
      <c r="H35" s="7">
        <v>26683</v>
      </c>
      <c r="I35" s="7">
        <v>116042</v>
      </c>
      <c r="J35" s="7">
        <v>5050</v>
      </c>
      <c r="K35" s="7">
        <v>20402</v>
      </c>
      <c r="L35" s="7">
        <v>2283</v>
      </c>
      <c r="M35" s="7">
        <v>102973</v>
      </c>
      <c r="N35" s="7">
        <v>20595</v>
      </c>
      <c r="O35" s="7">
        <v>82378</v>
      </c>
      <c r="P35" s="7">
        <v>351432</v>
      </c>
      <c r="Q35" s="7">
        <v>142393</v>
      </c>
      <c r="R35" s="7">
        <v>155853</v>
      </c>
      <c r="S35" s="7">
        <v>43766</v>
      </c>
      <c r="T35" s="7">
        <v>693444</v>
      </c>
      <c r="U35" s="7">
        <v>357841</v>
      </c>
      <c r="V35" s="7">
        <v>16234</v>
      </c>
      <c r="W35" s="7">
        <v>21173</v>
      </c>
      <c r="X35" s="7">
        <v>18351</v>
      </c>
      <c r="Y35" s="7">
        <v>1107043</v>
      </c>
      <c r="Z35" s="7">
        <v>119066</v>
      </c>
      <c r="AA35" s="7">
        <v>110014</v>
      </c>
      <c r="AB35" s="7">
        <v>68279</v>
      </c>
      <c r="AC35" s="7">
        <v>297359</v>
      </c>
      <c r="AD35" s="7">
        <v>164425</v>
      </c>
      <c r="AE35" s="7">
        <v>24971</v>
      </c>
      <c r="AF35" s="7">
        <v>486755</v>
      </c>
      <c r="AG35" s="7">
        <v>324000</v>
      </c>
      <c r="AH35" s="7">
        <v>264788</v>
      </c>
      <c r="AI35" s="7">
        <v>31500</v>
      </c>
      <c r="AJ35" s="7">
        <v>620288</v>
      </c>
      <c r="AK35" s="7">
        <v>1107043</v>
      </c>
      <c r="AL35" s="7">
        <v>-14174</v>
      </c>
      <c r="AM35" s="7">
        <v>-15798</v>
      </c>
      <c r="AN35" s="7">
        <v>1234</v>
      </c>
      <c r="AO35" s="7">
        <v>8474</v>
      </c>
      <c r="AP35" s="7">
        <v>779</v>
      </c>
      <c r="AQ35" s="7">
        <v>-229</v>
      </c>
      <c r="AR35" s="7">
        <v>89347</v>
      </c>
      <c r="AS35" s="7">
        <v>-42524</v>
      </c>
      <c r="AT35" s="7">
        <v>-34</v>
      </c>
      <c r="AU35" s="7">
        <v>1327</v>
      </c>
      <c r="AV35" s="7">
        <v>-2151</v>
      </c>
      <c r="AW35" s="7">
        <v>-43382</v>
      </c>
      <c r="AX35" s="7">
        <v>31491</v>
      </c>
      <c r="AY35" s="7">
        <v>0</v>
      </c>
      <c r="AZ35" s="7">
        <v>-6590</v>
      </c>
      <c r="BA35" s="7">
        <v>24901</v>
      </c>
      <c r="BB35" s="7">
        <v>70866</v>
      </c>
      <c r="BC35" s="7">
        <v>280566</v>
      </c>
      <c r="BD35" s="7">
        <v>351432</v>
      </c>
      <c r="BE35" s="7">
        <v>48</v>
      </c>
      <c r="BF35" s="7">
        <v>75</v>
      </c>
      <c r="BG35" s="8">
        <v>7.62</v>
      </c>
      <c r="BH35" s="8">
        <v>42</v>
      </c>
      <c r="BI35" s="7">
        <v>21</v>
      </c>
      <c r="BJ35" s="7">
        <v>6</v>
      </c>
      <c r="BK35" s="8">
        <v>4.5</v>
      </c>
      <c r="BL35" s="6" t="s">
        <v>100</v>
      </c>
      <c r="BM35" s="6" t="s">
        <v>101</v>
      </c>
      <c r="BN35" s="6" t="s">
        <v>134</v>
      </c>
      <c r="BO35" s="6" t="s">
        <v>135</v>
      </c>
      <c r="BP35" s="6" t="s">
        <v>104</v>
      </c>
      <c r="BQ35" s="6" t="s">
        <v>105</v>
      </c>
      <c r="BR35" s="6" t="s">
        <v>106</v>
      </c>
      <c r="BS35" s="7">
        <v>2010</v>
      </c>
      <c r="BT35" s="6" t="s">
        <v>107</v>
      </c>
      <c r="BU35" s="6" t="s">
        <v>108</v>
      </c>
      <c r="BV35" s="6" t="s">
        <v>109</v>
      </c>
      <c r="BW35" s="6" t="s">
        <v>110</v>
      </c>
      <c r="BX35" s="6" t="s">
        <v>120</v>
      </c>
      <c r="BY35" s="7" t="b">
        <f t="shared" si="20"/>
        <v>1</v>
      </c>
      <c r="BZ35" s="7" t="b">
        <f t="shared" si="0"/>
        <v>1</v>
      </c>
      <c r="CA35" s="7" t="b">
        <f t="shared" si="1"/>
        <v>1</v>
      </c>
      <c r="CB35" s="7" t="b">
        <f t="shared" si="2"/>
        <v>1</v>
      </c>
      <c r="CC35" s="9" t="str">
        <f t="shared" si="3"/>
        <v/>
      </c>
      <c r="CD35" s="9">
        <f t="shared" si="4"/>
        <v>29.1772534337105</v>
      </c>
      <c r="CE35" s="9">
        <f t="shared" si="5"/>
        <v>12.2799795548849</v>
      </c>
      <c r="CF35" s="9">
        <f t="shared" si="6"/>
        <v>8.71753464928479</v>
      </c>
      <c r="CG35" s="9">
        <f t="shared" si="7"/>
        <v>2.33200945658278</v>
      </c>
      <c r="CH35" s="9">
        <f t="shared" si="8"/>
        <v>1.66070305590212</v>
      </c>
      <c r="CI35" s="9">
        <f t="shared" si="9"/>
        <v>25.6079483814089</v>
      </c>
      <c r="CJ35" s="9">
        <f t="shared" si="10"/>
        <v>0.45703125</v>
      </c>
      <c r="CK35" s="9" t="str">
        <f t="shared" si="11"/>
        <v/>
      </c>
      <c r="CL35" s="9" t="str">
        <f t="shared" si="12"/>
        <v/>
      </c>
      <c r="CM35" s="9">
        <f t="shared" si="13"/>
        <v>1.08459782951759</v>
      </c>
      <c r="CN35" s="10">
        <f t="shared" si="14"/>
        <v>46823</v>
      </c>
      <c r="CO35" s="11" t="str">
        <f t="shared" si="15"/>
        <v/>
      </c>
      <c r="CP35" s="11" t="str">
        <f t="shared" si="16"/>
        <v/>
      </c>
      <c r="CQ35" s="11" t="str">
        <f t="shared" si="17"/>
        <v/>
      </c>
      <c r="CR35" s="9">
        <f t="shared" si="18"/>
        <v>5.6877757082639</v>
      </c>
      <c r="CS35" s="10">
        <f t="shared" si="19"/>
        <v>396085</v>
      </c>
    </row>
    <row r="36" spans="1:97">
      <c r="A36" s="6" t="s">
        <v>133</v>
      </c>
      <c r="B36" s="7">
        <v>2022</v>
      </c>
      <c r="C36" s="7">
        <v>987400</v>
      </c>
      <c r="D36" s="7">
        <v>702799</v>
      </c>
      <c r="E36" s="7">
        <v>284601</v>
      </c>
      <c r="F36" s="7">
        <v>81514</v>
      </c>
      <c r="G36" s="7">
        <v>59632</v>
      </c>
      <c r="H36" s="7">
        <v>28189</v>
      </c>
      <c r="I36" s="7">
        <v>115266</v>
      </c>
      <c r="J36" s="7">
        <v>6326</v>
      </c>
      <c r="K36" s="7">
        <v>24975</v>
      </c>
      <c r="L36" s="7">
        <v>-203</v>
      </c>
      <c r="M36" s="7">
        <v>96414</v>
      </c>
      <c r="N36" s="7">
        <v>19283</v>
      </c>
      <c r="O36" s="7">
        <v>77131</v>
      </c>
      <c r="P36" s="7">
        <v>397840</v>
      </c>
      <c r="Q36" s="7">
        <v>175838</v>
      </c>
      <c r="R36" s="7">
        <v>182920</v>
      </c>
      <c r="S36" s="7">
        <v>49405</v>
      </c>
      <c r="T36" s="7">
        <v>806003</v>
      </c>
      <c r="U36" s="7">
        <v>369148</v>
      </c>
      <c r="V36" s="7">
        <v>17469</v>
      </c>
      <c r="W36" s="7">
        <v>22379</v>
      </c>
      <c r="X36" s="7">
        <v>18454</v>
      </c>
      <c r="Y36" s="7">
        <v>1233453</v>
      </c>
      <c r="Z36" s="7">
        <v>141001</v>
      </c>
      <c r="AA36" s="7">
        <v>111678</v>
      </c>
      <c r="AB36" s="7">
        <v>69812</v>
      </c>
      <c r="AC36" s="7">
        <v>322491</v>
      </c>
      <c r="AD36" s="7">
        <v>194715</v>
      </c>
      <c r="AE36" s="7">
        <v>24998</v>
      </c>
      <c r="AF36" s="7">
        <v>542204</v>
      </c>
      <c r="AG36" s="7">
        <v>324000</v>
      </c>
      <c r="AH36" s="7">
        <v>335749</v>
      </c>
      <c r="AI36" s="7">
        <v>31500</v>
      </c>
      <c r="AJ36" s="7">
        <v>691249</v>
      </c>
      <c r="AK36" s="7">
        <v>1233453</v>
      </c>
      <c r="AL36" s="7">
        <v>-33445</v>
      </c>
      <c r="AM36" s="7">
        <v>-27067</v>
      </c>
      <c r="AN36" s="7">
        <v>-5639</v>
      </c>
      <c r="AO36" s="7">
        <v>1664</v>
      </c>
      <c r="AP36" s="7">
        <v>1533</v>
      </c>
      <c r="AQ36" s="7">
        <v>27</v>
      </c>
      <c r="AR36" s="7">
        <v>42393</v>
      </c>
      <c r="AS36" s="7">
        <v>-39496</v>
      </c>
      <c r="AT36" s="7">
        <v>-1235</v>
      </c>
      <c r="AU36" s="7">
        <v>-1206</v>
      </c>
      <c r="AV36" s="7">
        <v>-103</v>
      </c>
      <c r="AW36" s="7">
        <v>-42040</v>
      </c>
      <c r="AX36" s="7">
        <v>52225</v>
      </c>
      <c r="AY36" s="7">
        <v>0</v>
      </c>
      <c r="AZ36" s="7">
        <v>-6170</v>
      </c>
      <c r="BA36" s="7">
        <v>46055</v>
      </c>
      <c r="BB36" s="7">
        <v>46408</v>
      </c>
      <c r="BC36" s="7">
        <v>351432</v>
      </c>
      <c r="BD36" s="7">
        <v>397840</v>
      </c>
      <c r="BE36" s="7">
        <v>59</v>
      </c>
      <c r="BF36" s="7">
        <v>86</v>
      </c>
      <c r="BG36" s="8">
        <v>8.07</v>
      </c>
      <c r="BH36" s="8">
        <v>42</v>
      </c>
      <c r="BI36" s="7">
        <v>23</v>
      </c>
      <c r="BJ36" s="7">
        <v>9</v>
      </c>
      <c r="BK36" s="8">
        <v>4</v>
      </c>
      <c r="BL36" s="6" t="s">
        <v>100</v>
      </c>
      <c r="BM36" s="6" t="s">
        <v>101</v>
      </c>
      <c r="BN36" s="6" t="s">
        <v>134</v>
      </c>
      <c r="BO36" s="6" t="s">
        <v>135</v>
      </c>
      <c r="BP36" s="6" t="s">
        <v>104</v>
      </c>
      <c r="BQ36" s="6" t="s">
        <v>105</v>
      </c>
      <c r="BR36" s="6" t="s">
        <v>106</v>
      </c>
      <c r="BS36" s="7">
        <v>2010</v>
      </c>
      <c r="BT36" s="6" t="s">
        <v>107</v>
      </c>
      <c r="BU36" s="6" t="s">
        <v>108</v>
      </c>
      <c r="BV36" s="6" t="s">
        <v>109</v>
      </c>
      <c r="BW36" s="6" t="s">
        <v>110</v>
      </c>
      <c r="BX36" s="6" t="s">
        <v>120</v>
      </c>
      <c r="BY36" s="7" t="b">
        <f t="shared" si="20"/>
        <v>1</v>
      </c>
      <c r="BZ36" s="7" t="b">
        <f t="shared" si="0"/>
        <v>1</v>
      </c>
      <c r="CA36" s="7" t="b">
        <f t="shared" si="1"/>
        <v>1</v>
      </c>
      <c r="CB36" s="7" t="b">
        <f t="shared" si="2"/>
        <v>1</v>
      </c>
      <c r="CC36" s="9">
        <f t="shared" si="3"/>
        <v>4.49020020762586</v>
      </c>
      <c r="CD36" s="9">
        <f t="shared" si="4"/>
        <v>28.82327324286</v>
      </c>
      <c r="CE36" s="9">
        <f t="shared" si="5"/>
        <v>11.6736884747823</v>
      </c>
      <c r="CF36" s="9">
        <f t="shared" si="6"/>
        <v>7.81152521774357</v>
      </c>
      <c r="CG36" s="9">
        <f t="shared" si="7"/>
        <v>2.49930385654173</v>
      </c>
      <c r="CH36" s="9">
        <f t="shared" si="8"/>
        <v>1.77889615524154</v>
      </c>
      <c r="CI36" s="9">
        <f t="shared" si="9"/>
        <v>27.2175753757946</v>
      </c>
      <c r="CJ36" s="9">
        <f t="shared" si="10"/>
        <v>0.485665802048177</v>
      </c>
      <c r="CK36" s="9">
        <f t="shared" si="11"/>
        <v>6.59099609655389</v>
      </c>
      <c r="CL36" s="9">
        <f t="shared" si="12"/>
        <v>11.7619251305911</v>
      </c>
      <c r="CM36" s="9">
        <f t="shared" si="13"/>
        <v>0.549623368036198</v>
      </c>
      <c r="CN36" s="10">
        <f t="shared" si="14"/>
        <v>2897</v>
      </c>
      <c r="CO36" s="11">
        <f t="shared" si="15"/>
        <v>58.8182676726757</v>
      </c>
      <c r="CP36" s="11">
        <f t="shared" si="16"/>
        <v>87.9712015811064</v>
      </c>
      <c r="CQ36" s="11">
        <f t="shared" si="17"/>
        <v>57.5680813433144</v>
      </c>
      <c r="CR36" s="9">
        <f t="shared" si="18"/>
        <v>4.61525525525526</v>
      </c>
      <c r="CS36" s="10">
        <f t="shared" si="19"/>
        <v>483512</v>
      </c>
    </row>
    <row r="37" spans="1:97">
      <c r="A37" s="6" t="s">
        <v>133</v>
      </c>
      <c r="B37" s="7">
        <v>2023</v>
      </c>
      <c r="C37" s="7">
        <v>1025920</v>
      </c>
      <c r="D37" s="7">
        <v>738933</v>
      </c>
      <c r="E37" s="7">
        <v>286987</v>
      </c>
      <c r="F37" s="7">
        <v>85192</v>
      </c>
      <c r="G37" s="7">
        <v>63647</v>
      </c>
      <c r="H37" s="7">
        <v>27864</v>
      </c>
      <c r="I37" s="7">
        <v>110284</v>
      </c>
      <c r="J37" s="7">
        <v>7161</v>
      </c>
      <c r="K37" s="7">
        <v>31581</v>
      </c>
      <c r="L37" s="7">
        <v>2072</v>
      </c>
      <c r="M37" s="7">
        <v>87936</v>
      </c>
      <c r="N37" s="7">
        <v>17587</v>
      </c>
      <c r="O37" s="7">
        <v>70349</v>
      </c>
      <c r="P37" s="7">
        <v>417616</v>
      </c>
      <c r="Q37" s="7">
        <v>230481</v>
      </c>
      <c r="R37" s="7">
        <v>222692</v>
      </c>
      <c r="S37" s="7">
        <v>51332</v>
      </c>
      <c r="T37" s="7">
        <v>922121</v>
      </c>
      <c r="U37" s="7">
        <v>377191</v>
      </c>
      <c r="V37" s="7">
        <v>17760</v>
      </c>
      <c r="W37" s="7">
        <v>26668</v>
      </c>
      <c r="X37" s="7">
        <v>18835</v>
      </c>
      <c r="Y37" s="7">
        <v>1362575</v>
      </c>
      <c r="Z37" s="7">
        <v>187128</v>
      </c>
      <c r="AA37" s="7">
        <v>111346</v>
      </c>
      <c r="AB37" s="7">
        <v>77252</v>
      </c>
      <c r="AC37" s="7">
        <v>375726</v>
      </c>
      <c r="AD37" s="7">
        <v>202722</v>
      </c>
      <c r="AE37" s="7">
        <v>28157</v>
      </c>
      <c r="AF37" s="7">
        <v>606605</v>
      </c>
      <c r="AG37" s="7">
        <v>324000</v>
      </c>
      <c r="AH37" s="7">
        <v>400470</v>
      </c>
      <c r="AI37" s="7">
        <v>31500</v>
      </c>
      <c r="AJ37" s="7">
        <v>755970</v>
      </c>
      <c r="AK37" s="7">
        <v>1362575</v>
      </c>
      <c r="AL37" s="7">
        <v>-54643</v>
      </c>
      <c r="AM37" s="7">
        <v>-39772</v>
      </c>
      <c r="AN37" s="7">
        <v>-1927</v>
      </c>
      <c r="AO37" s="7">
        <v>-332</v>
      </c>
      <c r="AP37" s="7">
        <v>7440</v>
      </c>
      <c r="AQ37" s="7">
        <v>3159</v>
      </c>
      <c r="AR37" s="7">
        <v>12138</v>
      </c>
      <c r="AS37" s="7">
        <v>-35907</v>
      </c>
      <c r="AT37" s="7">
        <v>-291</v>
      </c>
      <c r="AU37" s="7">
        <v>-4289</v>
      </c>
      <c r="AV37" s="7">
        <v>-381</v>
      </c>
      <c r="AW37" s="7">
        <v>-40868</v>
      </c>
      <c r="AX37" s="7">
        <v>54134</v>
      </c>
      <c r="AY37" s="7">
        <v>0</v>
      </c>
      <c r="AZ37" s="7">
        <v>-5628</v>
      </c>
      <c r="BA37" s="7">
        <v>48506</v>
      </c>
      <c r="BB37" s="7">
        <v>19776</v>
      </c>
      <c r="BC37" s="7">
        <v>397840</v>
      </c>
      <c r="BD37" s="7">
        <v>417616</v>
      </c>
      <c r="BE37" s="7">
        <v>73</v>
      </c>
      <c r="BF37" s="7">
        <v>105</v>
      </c>
      <c r="BG37" s="8">
        <v>8.71</v>
      </c>
      <c r="BH37" s="8">
        <v>48</v>
      </c>
      <c r="BI37" s="7">
        <v>14</v>
      </c>
      <c r="BJ37" s="7">
        <v>8</v>
      </c>
      <c r="BK37" s="8">
        <v>3.5</v>
      </c>
      <c r="BL37" s="6" t="s">
        <v>100</v>
      </c>
      <c r="BM37" s="6" t="s">
        <v>101</v>
      </c>
      <c r="BN37" s="6" t="s">
        <v>134</v>
      </c>
      <c r="BO37" s="6" t="s">
        <v>135</v>
      </c>
      <c r="BP37" s="6" t="s">
        <v>104</v>
      </c>
      <c r="BQ37" s="6" t="s">
        <v>105</v>
      </c>
      <c r="BR37" s="6" t="s">
        <v>106</v>
      </c>
      <c r="BS37" s="7">
        <v>2010</v>
      </c>
      <c r="BT37" s="6" t="s">
        <v>107</v>
      </c>
      <c r="BU37" s="6" t="s">
        <v>108</v>
      </c>
      <c r="BV37" s="6" t="s">
        <v>109</v>
      </c>
      <c r="BW37" s="6" t="s">
        <v>110</v>
      </c>
      <c r="BX37" s="6" t="s">
        <v>120</v>
      </c>
      <c r="BY37" s="7" t="b">
        <f t="shared" si="20"/>
        <v>1</v>
      </c>
      <c r="BZ37" s="7" t="b">
        <f t="shared" si="0"/>
        <v>1</v>
      </c>
      <c r="CA37" s="7" t="b">
        <f t="shared" si="1"/>
        <v>1</v>
      </c>
      <c r="CB37" s="7" t="b">
        <f t="shared" si="2"/>
        <v>1</v>
      </c>
      <c r="CC37" s="9">
        <f t="shared" ref="CC37:CC64" si="21">IF($A37=$A36,(C37-C36)/C36*100,"")</f>
        <v>3.90115454729593</v>
      </c>
      <c r="CD37" s="9">
        <f t="shared" ref="CD37:CD64" si="22">E37/C37*100</f>
        <v>27.9736236743606</v>
      </c>
      <c r="CE37" s="9">
        <f t="shared" ref="CE37:CE64" si="23">I37/C37*100</f>
        <v>10.7497660636307</v>
      </c>
      <c r="CF37" s="9">
        <f t="shared" ref="CF37:CF64" si="24">O37/C37*100</f>
        <v>6.8571623518403</v>
      </c>
      <c r="CG37" s="9">
        <f t="shared" ref="CG37:CG64" si="25">T37/AC37</f>
        <v>2.45423792870336</v>
      </c>
      <c r="CH37" s="9">
        <f t="shared" ref="CH37:CH64" si="26">(P37+Q37)/AC37</f>
        <v>1.72491922305084</v>
      </c>
      <c r="CI37" s="9">
        <f t="shared" ref="CI37:CI64" si="27">(Z37+AD37)/Y37*100</f>
        <v>28.611269104453</v>
      </c>
      <c r="CJ37" s="9">
        <f t="shared" ref="CJ37:CJ64" si="28">(Z37+AD37)/AJ37</f>
        <v>0.515695067264574</v>
      </c>
      <c r="CK37" s="9">
        <f t="shared" ref="CK37:CK64" si="29">IF($A37=$A36,O37/AVERAGE(Y37,Y36)*100,"")</f>
        <v>5.41974123545663</v>
      </c>
      <c r="CL37" s="9">
        <f t="shared" ref="CL37:CL64" si="30">IF($A37=$A36,O37/AVERAGE(AJ37,AJ36)*100,"")</f>
        <v>9.72195638669752</v>
      </c>
      <c r="CM37" s="9">
        <f t="shared" ref="CM37:CM64" si="31">IF(O37=0,"",AR37/O37)</f>
        <v>0.172539766023682</v>
      </c>
      <c r="CN37" s="10">
        <f t="shared" ref="CN37:CN64" si="32">AR37+AS37</f>
        <v>-23769</v>
      </c>
      <c r="CO37" s="11">
        <f t="shared" ref="CO37:CO64" si="33">IF($A37=$A36,AVERAGE(Q37,Q36)/C37*365,"")</f>
        <v>72.2797269767623</v>
      </c>
      <c r="CP37" s="11">
        <f t="shared" ref="CP37:CP64" si="34">IF($A37=$A36,AVERAGE(R37,R36)/D37*365,"")</f>
        <v>100.177133786148</v>
      </c>
      <c r="CQ37" s="11">
        <f t="shared" ref="CQ37:CQ64" si="35">IF($A37=$A36,AVERAGE(AA37,AA36)/D37*365,"")</f>
        <v>55.0819627760568</v>
      </c>
      <c r="CR37" s="9">
        <f t="shared" ref="CR37:CR64" si="36">I37/K37</f>
        <v>3.49209968018745</v>
      </c>
      <c r="CS37" s="10">
        <f t="shared" ref="CS37:CS64" si="37">T37-AC37</f>
        <v>546395</v>
      </c>
    </row>
    <row r="38" spans="1:97">
      <c r="A38" s="6" t="s">
        <v>133</v>
      </c>
      <c r="B38" s="7">
        <v>2024</v>
      </c>
      <c r="C38" s="7">
        <v>1053617</v>
      </c>
      <c r="D38" s="7">
        <v>762674</v>
      </c>
      <c r="E38" s="7">
        <v>290943</v>
      </c>
      <c r="F38" s="7">
        <v>91028</v>
      </c>
      <c r="G38" s="7">
        <v>66792</v>
      </c>
      <c r="H38" s="7">
        <v>30521</v>
      </c>
      <c r="I38" s="7">
        <v>102602</v>
      </c>
      <c r="J38" s="7">
        <v>7517</v>
      </c>
      <c r="K38" s="7">
        <v>39305</v>
      </c>
      <c r="L38" s="7">
        <v>2818</v>
      </c>
      <c r="M38" s="7">
        <v>73632</v>
      </c>
      <c r="N38" s="7">
        <v>14726</v>
      </c>
      <c r="O38" s="7">
        <v>58906</v>
      </c>
      <c r="P38" s="7">
        <v>406395</v>
      </c>
      <c r="Q38" s="7">
        <v>288662</v>
      </c>
      <c r="R38" s="7">
        <v>271637</v>
      </c>
      <c r="S38" s="7">
        <v>48932</v>
      </c>
      <c r="T38" s="7">
        <v>1015626</v>
      </c>
      <c r="U38" s="7">
        <v>378279</v>
      </c>
      <c r="V38" s="7">
        <v>19679</v>
      </c>
      <c r="W38" s="7">
        <v>26662</v>
      </c>
      <c r="X38" s="7">
        <v>17523</v>
      </c>
      <c r="Y38" s="7">
        <v>1457769</v>
      </c>
      <c r="Z38" s="7">
        <v>212409</v>
      </c>
      <c r="AA38" s="7">
        <v>104476</v>
      </c>
      <c r="AB38" s="7">
        <v>74453</v>
      </c>
      <c r="AC38" s="7">
        <v>391338</v>
      </c>
      <c r="AD38" s="7">
        <v>230110</v>
      </c>
      <c r="AE38" s="7">
        <v>26157</v>
      </c>
      <c r="AF38" s="7">
        <v>647605</v>
      </c>
      <c r="AG38" s="7">
        <v>324000</v>
      </c>
      <c r="AH38" s="7">
        <v>454664</v>
      </c>
      <c r="AI38" s="7">
        <v>31500</v>
      </c>
      <c r="AJ38" s="7">
        <v>810164</v>
      </c>
      <c r="AK38" s="7">
        <v>1457769</v>
      </c>
      <c r="AL38" s="7">
        <v>-58181</v>
      </c>
      <c r="AM38" s="7">
        <v>-48945</v>
      </c>
      <c r="AN38" s="7">
        <v>2400</v>
      </c>
      <c r="AO38" s="7">
        <v>-6870</v>
      </c>
      <c r="AP38" s="7">
        <v>-2799</v>
      </c>
      <c r="AQ38" s="7">
        <v>-2000</v>
      </c>
      <c r="AR38" s="7">
        <v>-26968</v>
      </c>
      <c r="AS38" s="7">
        <v>-31609</v>
      </c>
      <c r="AT38" s="7">
        <v>-1919</v>
      </c>
      <c r="AU38" s="7">
        <v>6</v>
      </c>
      <c r="AV38" s="7">
        <v>1312</v>
      </c>
      <c r="AW38" s="7">
        <v>-32210</v>
      </c>
      <c r="AX38" s="7">
        <v>52669</v>
      </c>
      <c r="AY38" s="7">
        <v>0</v>
      </c>
      <c r="AZ38" s="7">
        <v>-4712</v>
      </c>
      <c r="BA38" s="7">
        <v>47957</v>
      </c>
      <c r="BB38" s="7">
        <v>-11221</v>
      </c>
      <c r="BC38" s="7">
        <v>417616</v>
      </c>
      <c r="BD38" s="7">
        <v>406395</v>
      </c>
      <c r="BE38" s="7">
        <v>93</v>
      </c>
      <c r="BF38" s="7">
        <v>115</v>
      </c>
      <c r="BG38" s="8">
        <v>9.44</v>
      </c>
      <c r="BH38" s="8">
        <v>48</v>
      </c>
      <c r="BI38" s="7">
        <v>18</v>
      </c>
      <c r="BJ38" s="7">
        <v>13</v>
      </c>
      <c r="BK38" s="8">
        <v>3</v>
      </c>
      <c r="BL38" s="6" t="s">
        <v>100</v>
      </c>
      <c r="BM38" s="6" t="s">
        <v>101</v>
      </c>
      <c r="BN38" s="6" t="s">
        <v>134</v>
      </c>
      <c r="BO38" s="6" t="s">
        <v>135</v>
      </c>
      <c r="BP38" s="6" t="s">
        <v>104</v>
      </c>
      <c r="BQ38" s="6" t="s">
        <v>105</v>
      </c>
      <c r="BR38" s="6" t="s">
        <v>106</v>
      </c>
      <c r="BS38" s="7">
        <v>2010</v>
      </c>
      <c r="BT38" s="6" t="s">
        <v>107</v>
      </c>
      <c r="BU38" s="6" t="s">
        <v>108</v>
      </c>
      <c r="BV38" s="6" t="s">
        <v>109</v>
      </c>
      <c r="BW38" s="6" t="s">
        <v>110</v>
      </c>
      <c r="BX38" s="6" t="s">
        <v>120</v>
      </c>
      <c r="BY38" s="7" t="b">
        <f t="shared" si="20"/>
        <v>1</v>
      </c>
      <c r="BZ38" s="7" t="b">
        <f t="shared" si="0"/>
        <v>1</v>
      </c>
      <c r="CA38" s="7" t="b">
        <f t="shared" si="1"/>
        <v>1</v>
      </c>
      <c r="CB38" s="7" t="b">
        <f t="shared" si="2"/>
        <v>1</v>
      </c>
      <c r="CC38" s="9">
        <f t="shared" si="21"/>
        <v>2.69972317529632</v>
      </c>
      <c r="CD38" s="9">
        <f t="shared" si="22"/>
        <v>27.6137344025391</v>
      </c>
      <c r="CE38" s="9">
        <f t="shared" si="23"/>
        <v>9.73807370230359</v>
      </c>
      <c r="CF38" s="9">
        <f t="shared" si="24"/>
        <v>5.59083613874871</v>
      </c>
      <c r="CG38" s="9">
        <f t="shared" si="25"/>
        <v>2.59526547383592</v>
      </c>
      <c r="CH38" s="9">
        <f t="shared" si="26"/>
        <v>1.77610403283095</v>
      </c>
      <c r="CI38" s="9">
        <f t="shared" si="27"/>
        <v>30.3559068686465</v>
      </c>
      <c r="CJ38" s="9">
        <f t="shared" si="28"/>
        <v>0.546209162589303</v>
      </c>
      <c r="CK38" s="9">
        <f t="shared" si="29"/>
        <v>4.17722093475122</v>
      </c>
      <c r="CL38" s="9">
        <f t="shared" si="30"/>
        <v>7.52247253427868</v>
      </c>
      <c r="CM38" s="9">
        <f t="shared" si="31"/>
        <v>-0.457814144569314</v>
      </c>
      <c r="CN38" s="10">
        <f t="shared" si="32"/>
        <v>-58577</v>
      </c>
      <c r="CO38" s="11">
        <f t="shared" si="33"/>
        <v>89.9222369229046</v>
      </c>
      <c r="CP38" s="11">
        <f t="shared" si="34"/>
        <v>118.287816944068</v>
      </c>
      <c r="CQ38" s="11">
        <f t="shared" si="35"/>
        <v>51.6439723918739</v>
      </c>
      <c r="CR38" s="9">
        <f t="shared" si="36"/>
        <v>2.6104058007887</v>
      </c>
      <c r="CS38" s="10">
        <f t="shared" si="37"/>
        <v>624288</v>
      </c>
    </row>
    <row r="39" spans="1:97">
      <c r="A39" s="6" t="s">
        <v>133</v>
      </c>
      <c r="B39" s="7">
        <v>2025</v>
      </c>
      <c r="C39" s="7">
        <v>1074482</v>
      </c>
      <c r="D39" s="7">
        <v>790863</v>
      </c>
      <c r="E39" s="7">
        <v>283619</v>
      </c>
      <c r="F39" s="7">
        <v>95319</v>
      </c>
      <c r="G39" s="7">
        <v>72201</v>
      </c>
      <c r="H39" s="7">
        <v>30535</v>
      </c>
      <c r="I39" s="7">
        <v>85564</v>
      </c>
      <c r="J39" s="7">
        <v>7315</v>
      </c>
      <c r="K39" s="7">
        <v>46407</v>
      </c>
      <c r="L39" s="7">
        <v>440</v>
      </c>
      <c r="M39" s="7">
        <v>46912</v>
      </c>
      <c r="N39" s="7">
        <v>9382</v>
      </c>
      <c r="O39" s="7">
        <v>37530</v>
      </c>
      <c r="P39" s="7">
        <v>393594</v>
      </c>
      <c r="Q39" s="7">
        <v>338535</v>
      </c>
      <c r="R39" s="7">
        <v>314178</v>
      </c>
      <c r="S39" s="7">
        <v>48684</v>
      </c>
      <c r="T39" s="7">
        <v>1094991</v>
      </c>
      <c r="U39" s="7">
        <v>374606</v>
      </c>
      <c r="V39" s="7">
        <v>18759</v>
      </c>
      <c r="W39" s="7">
        <v>27634</v>
      </c>
      <c r="X39" s="7">
        <v>20842</v>
      </c>
      <c r="Y39" s="7">
        <v>1536832</v>
      </c>
      <c r="Z39" s="7">
        <v>232088</v>
      </c>
      <c r="AA39" s="7">
        <v>97504</v>
      </c>
      <c r="AB39" s="7">
        <v>83303</v>
      </c>
      <c r="AC39" s="7">
        <v>412895</v>
      </c>
      <c r="AD39" s="7">
        <v>251429</v>
      </c>
      <c r="AE39" s="7">
        <v>27816</v>
      </c>
      <c r="AF39" s="7">
        <v>692140</v>
      </c>
      <c r="AG39" s="7">
        <v>324000</v>
      </c>
      <c r="AH39" s="7">
        <v>489192</v>
      </c>
      <c r="AI39" s="7">
        <v>31500</v>
      </c>
      <c r="AJ39" s="7">
        <v>844692</v>
      </c>
      <c r="AK39" s="7">
        <v>1536832</v>
      </c>
      <c r="AL39" s="7">
        <v>-49873</v>
      </c>
      <c r="AM39" s="7">
        <v>-42541</v>
      </c>
      <c r="AN39" s="7">
        <v>248</v>
      </c>
      <c r="AO39" s="7">
        <v>-6972</v>
      </c>
      <c r="AP39" s="7">
        <v>8850</v>
      </c>
      <c r="AQ39" s="7">
        <v>1659</v>
      </c>
      <c r="AR39" s="7">
        <v>-20564</v>
      </c>
      <c r="AS39" s="7">
        <v>-26862</v>
      </c>
      <c r="AT39" s="7">
        <v>920</v>
      </c>
      <c r="AU39" s="7">
        <v>-972</v>
      </c>
      <c r="AV39" s="7">
        <v>-3319</v>
      </c>
      <c r="AW39" s="7">
        <v>-30233</v>
      </c>
      <c r="AX39" s="7">
        <v>40998</v>
      </c>
      <c r="AY39" s="7">
        <v>0</v>
      </c>
      <c r="AZ39" s="7">
        <v>-3002</v>
      </c>
      <c r="BA39" s="7">
        <v>37996</v>
      </c>
      <c r="BB39" s="7">
        <v>-12801</v>
      </c>
      <c r="BC39" s="7">
        <v>406395</v>
      </c>
      <c r="BD39" s="7">
        <v>393594</v>
      </c>
      <c r="BE39" s="7">
        <v>107</v>
      </c>
      <c r="BF39" s="7">
        <v>139</v>
      </c>
      <c r="BG39" s="8">
        <v>10.02</v>
      </c>
      <c r="BH39" s="8">
        <v>48</v>
      </c>
      <c r="BI39" s="7">
        <v>16</v>
      </c>
      <c r="BJ39" s="7">
        <v>23</v>
      </c>
      <c r="BK39" s="8">
        <v>2.5</v>
      </c>
      <c r="BL39" s="6" t="s">
        <v>100</v>
      </c>
      <c r="BM39" s="6" t="s">
        <v>101</v>
      </c>
      <c r="BN39" s="6" t="s">
        <v>134</v>
      </c>
      <c r="BO39" s="6" t="s">
        <v>135</v>
      </c>
      <c r="BP39" s="6" t="s">
        <v>104</v>
      </c>
      <c r="BQ39" s="6" t="s">
        <v>105</v>
      </c>
      <c r="BR39" s="6" t="s">
        <v>106</v>
      </c>
      <c r="BS39" s="7">
        <v>2010</v>
      </c>
      <c r="BT39" s="6" t="s">
        <v>107</v>
      </c>
      <c r="BU39" s="6" t="s">
        <v>108</v>
      </c>
      <c r="BV39" s="6" t="s">
        <v>109</v>
      </c>
      <c r="BW39" s="6" t="s">
        <v>110</v>
      </c>
      <c r="BX39" s="6" t="s">
        <v>120</v>
      </c>
      <c r="BY39" s="7" t="b">
        <f t="shared" si="20"/>
        <v>1</v>
      </c>
      <c r="BZ39" s="7" t="b">
        <f t="shared" si="0"/>
        <v>1</v>
      </c>
      <c r="CA39" s="7" t="b">
        <f t="shared" si="1"/>
        <v>1</v>
      </c>
      <c r="CB39" s="7" t="b">
        <f t="shared" si="2"/>
        <v>1</v>
      </c>
      <c r="CC39" s="9">
        <f t="shared" si="21"/>
        <v>1.98032112238128</v>
      </c>
      <c r="CD39" s="9">
        <f t="shared" si="22"/>
        <v>26.3958819226381</v>
      </c>
      <c r="CE39" s="9">
        <f t="shared" si="23"/>
        <v>7.96327904981191</v>
      </c>
      <c r="CF39" s="9">
        <f t="shared" si="24"/>
        <v>3.49284585502596</v>
      </c>
      <c r="CG39" s="9">
        <f t="shared" si="25"/>
        <v>2.65198416062195</v>
      </c>
      <c r="CH39" s="9">
        <f t="shared" si="26"/>
        <v>1.77316024655179</v>
      </c>
      <c r="CI39" s="9">
        <f t="shared" si="27"/>
        <v>31.4619294757007</v>
      </c>
      <c r="CJ39" s="9">
        <f t="shared" si="28"/>
        <v>0.57241811216396</v>
      </c>
      <c r="CK39" s="9">
        <f t="shared" si="29"/>
        <v>2.50651088408773</v>
      </c>
      <c r="CL39" s="9">
        <f t="shared" si="30"/>
        <v>4.53574208269481</v>
      </c>
      <c r="CM39" s="9">
        <f t="shared" si="31"/>
        <v>-0.547934985345057</v>
      </c>
      <c r="CN39" s="10">
        <f t="shared" si="32"/>
        <v>-47426</v>
      </c>
      <c r="CO39" s="11">
        <f t="shared" si="33"/>
        <v>106.528962327894</v>
      </c>
      <c r="CP39" s="11">
        <f t="shared" si="34"/>
        <v>135.183005779762</v>
      </c>
      <c r="CQ39" s="11">
        <f t="shared" si="35"/>
        <v>46.6090207785672</v>
      </c>
      <c r="CR39" s="9">
        <f t="shared" si="36"/>
        <v>1.84377356864266</v>
      </c>
      <c r="CS39" s="10">
        <f t="shared" si="37"/>
        <v>682096</v>
      </c>
    </row>
    <row r="40" spans="1:97">
      <c r="A40" s="6" t="s">
        <v>136</v>
      </c>
      <c r="B40" s="7">
        <v>2021</v>
      </c>
      <c r="C40" s="7">
        <v>1781899</v>
      </c>
      <c r="D40" s="7">
        <v>1172383</v>
      </c>
      <c r="E40" s="7">
        <v>609516</v>
      </c>
      <c r="F40" s="7">
        <v>128609</v>
      </c>
      <c r="G40" s="7">
        <v>92191</v>
      </c>
      <c r="H40" s="7">
        <v>54177</v>
      </c>
      <c r="I40" s="7">
        <v>334539</v>
      </c>
      <c r="J40" s="7">
        <v>5540</v>
      </c>
      <c r="K40" s="7">
        <v>19741</v>
      </c>
      <c r="L40" s="7">
        <v>-798</v>
      </c>
      <c r="M40" s="7">
        <v>319540</v>
      </c>
      <c r="N40" s="7">
        <v>63908</v>
      </c>
      <c r="O40" s="7">
        <v>255632</v>
      </c>
      <c r="P40" s="7">
        <v>473564</v>
      </c>
      <c r="Q40" s="7">
        <v>244096</v>
      </c>
      <c r="R40" s="7">
        <v>224841</v>
      </c>
      <c r="S40" s="7">
        <v>84592</v>
      </c>
      <c r="T40" s="7">
        <v>1027093</v>
      </c>
      <c r="U40" s="7">
        <v>731482</v>
      </c>
      <c r="V40" s="7">
        <v>33324</v>
      </c>
      <c r="W40" s="7">
        <v>40401</v>
      </c>
      <c r="X40" s="7">
        <v>33315</v>
      </c>
      <c r="Y40" s="7">
        <v>1865615</v>
      </c>
      <c r="Z40" s="7">
        <v>112260</v>
      </c>
      <c r="AA40" s="7">
        <v>176660</v>
      </c>
      <c r="AB40" s="7">
        <v>135072</v>
      </c>
      <c r="AC40" s="7">
        <v>423992</v>
      </c>
      <c r="AD40" s="7">
        <v>208482</v>
      </c>
      <c r="AE40" s="7">
        <v>43167</v>
      </c>
      <c r="AF40" s="7">
        <v>675641</v>
      </c>
      <c r="AG40" s="7">
        <v>594000</v>
      </c>
      <c r="AH40" s="7">
        <v>538224</v>
      </c>
      <c r="AI40" s="7">
        <v>57750</v>
      </c>
      <c r="AJ40" s="7">
        <v>1189974</v>
      </c>
      <c r="AK40" s="7">
        <v>1865615</v>
      </c>
      <c r="AL40" s="7">
        <v>-31630</v>
      </c>
      <c r="AM40" s="7">
        <v>-30909</v>
      </c>
      <c r="AN40" s="7">
        <v>-2092</v>
      </c>
      <c r="AO40" s="7">
        <v>18531</v>
      </c>
      <c r="AP40" s="7">
        <v>11322</v>
      </c>
      <c r="AQ40" s="7">
        <v>-3033</v>
      </c>
      <c r="AR40" s="7">
        <v>271998</v>
      </c>
      <c r="AS40" s="7">
        <v>-92659</v>
      </c>
      <c r="AT40" s="7">
        <v>-3624</v>
      </c>
      <c r="AU40" s="7">
        <v>849</v>
      </c>
      <c r="AV40" s="7">
        <v>-3615</v>
      </c>
      <c r="AW40" s="7">
        <v>-99049</v>
      </c>
      <c r="AX40" s="7">
        <v>56742</v>
      </c>
      <c r="AY40" s="7">
        <v>0</v>
      </c>
      <c r="AZ40" s="7">
        <v>-63908</v>
      </c>
      <c r="BA40" s="7">
        <v>-7166</v>
      </c>
      <c r="BB40" s="7">
        <v>165783</v>
      </c>
      <c r="BC40" s="7">
        <v>307781</v>
      </c>
      <c r="BD40" s="7">
        <v>473564</v>
      </c>
      <c r="BE40" s="7">
        <v>42</v>
      </c>
      <c r="BF40" s="7">
        <v>63</v>
      </c>
      <c r="BG40" s="8">
        <v>6.75</v>
      </c>
      <c r="BH40" s="8">
        <v>35</v>
      </c>
      <c r="BI40" s="7">
        <v>13</v>
      </c>
      <c r="BJ40" s="7">
        <v>16</v>
      </c>
      <c r="BK40" s="8">
        <v>5.2</v>
      </c>
      <c r="BL40" s="6" t="s">
        <v>100</v>
      </c>
      <c r="BM40" s="6" t="s">
        <v>101</v>
      </c>
      <c r="BN40" s="6" t="s">
        <v>137</v>
      </c>
      <c r="BO40" s="6" t="s">
        <v>138</v>
      </c>
      <c r="BP40" s="6" t="s">
        <v>104</v>
      </c>
      <c r="BQ40" s="6" t="s">
        <v>105</v>
      </c>
      <c r="BR40" s="6" t="s">
        <v>115</v>
      </c>
      <c r="BS40" s="7">
        <v>2012</v>
      </c>
      <c r="BT40" s="6" t="s">
        <v>107</v>
      </c>
      <c r="BU40" s="6" t="s">
        <v>108</v>
      </c>
      <c r="BV40" s="6" t="s">
        <v>109</v>
      </c>
      <c r="BW40" s="6" t="s">
        <v>110</v>
      </c>
      <c r="BX40" s="6" t="s">
        <v>111</v>
      </c>
      <c r="BY40" s="7" t="b">
        <f t="shared" si="20"/>
        <v>1</v>
      </c>
      <c r="BZ40" s="7" t="b">
        <f t="shared" si="0"/>
        <v>1</v>
      </c>
      <c r="CA40" s="7" t="b">
        <f t="shared" si="1"/>
        <v>1</v>
      </c>
      <c r="CB40" s="7" t="b">
        <f t="shared" si="2"/>
        <v>1</v>
      </c>
      <c r="CC40" s="9" t="str">
        <f t="shared" si="21"/>
        <v/>
      </c>
      <c r="CD40" s="9">
        <f t="shared" si="22"/>
        <v>34.2059791267631</v>
      </c>
      <c r="CE40" s="9">
        <f t="shared" si="23"/>
        <v>18.7742964107393</v>
      </c>
      <c r="CF40" s="9">
        <f t="shared" si="24"/>
        <v>14.346043182021</v>
      </c>
      <c r="CG40" s="9">
        <f t="shared" si="25"/>
        <v>2.42243485726146</v>
      </c>
      <c r="CH40" s="9">
        <f t="shared" si="26"/>
        <v>1.69262627596747</v>
      </c>
      <c r="CI40" s="9">
        <f t="shared" si="27"/>
        <v>17.1922931580203</v>
      </c>
      <c r="CJ40" s="9">
        <f t="shared" si="28"/>
        <v>0.269536981480268</v>
      </c>
      <c r="CK40" s="9" t="str">
        <f t="shared" si="29"/>
        <v/>
      </c>
      <c r="CL40" s="9" t="str">
        <f t="shared" si="30"/>
        <v/>
      </c>
      <c r="CM40" s="9">
        <f t="shared" si="31"/>
        <v>1.06402171872066</v>
      </c>
      <c r="CN40" s="10">
        <f t="shared" si="32"/>
        <v>179339</v>
      </c>
      <c r="CO40" s="11" t="str">
        <f t="shared" si="33"/>
        <v/>
      </c>
      <c r="CP40" s="11" t="str">
        <f t="shared" si="34"/>
        <v/>
      </c>
      <c r="CQ40" s="11" t="str">
        <f t="shared" si="35"/>
        <v/>
      </c>
      <c r="CR40" s="9">
        <f t="shared" si="36"/>
        <v>16.946405957145</v>
      </c>
      <c r="CS40" s="10">
        <f t="shared" si="37"/>
        <v>603101</v>
      </c>
    </row>
    <row r="41" spans="1:97">
      <c r="A41" s="6" t="s">
        <v>136</v>
      </c>
      <c r="B41" s="7">
        <v>2022</v>
      </c>
      <c r="C41" s="7">
        <v>1950037</v>
      </c>
      <c r="D41" s="7">
        <v>1266158</v>
      </c>
      <c r="E41" s="7">
        <v>683879</v>
      </c>
      <c r="F41" s="7">
        <v>139663</v>
      </c>
      <c r="G41" s="7">
        <v>102931</v>
      </c>
      <c r="H41" s="7">
        <v>60898</v>
      </c>
      <c r="I41" s="7">
        <v>380387</v>
      </c>
      <c r="J41" s="7">
        <v>8524</v>
      </c>
      <c r="K41" s="7">
        <v>24128</v>
      </c>
      <c r="L41" s="7">
        <v>1297</v>
      </c>
      <c r="M41" s="7">
        <v>366080</v>
      </c>
      <c r="N41" s="7">
        <v>73216</v>
      </c>
      <c r="O41" s="7">
        <v>292864</v>
      </c>
      <c r="P41" s="7">
        <v>639291</v>
      </c>
      <c r="Q41" s="7">
        <v>293841</v>
      </c>
      <c r="R41" s="7">
        <v>249763</v>
      </c>
      <c r="S41" s="7">
        <v>94174</v>
      </c>
      <c r="T41" s="7">
        <v>1277069</v>
      </c>
      <c r="U41" s="7">
        <v>777836</v>
      </c>
      <c r="V41" s="7">
        <v>34629</v>
      </c>
      <c r="W41" s="7">
        <v>47199</v>
      </c>
      <c r="X41" s="7">
        <v>32560</v>
      </c>
      <c r="Y41" s="7">
        <v>2169293</v>
      </c>
      <c r="Z41" s="7">
        <v>129677</v>
      </c>
      <c r="AA41" s="7">
        <v>190791</v>
      </c>
      <c r="AB41" s="7">
        <v>150989</v>
      </c>
      <c r="AC41" s="7">
        <v>471457</v>
      </c>
      <c r="AD41" s="7">
        <v>240830</v>
      </c>
      <c r="AE41" s="7">
        <v>47384</v>
      </c>
      <c r="AF41" s="7">
        <v>759671</v>
      </c>
      <c r="AG41" s="7">
        <v>594000</v>
      </c>
      <c r="AH41" s="7">
        <v>757872</v>
      </c>
      <c r="AI41" s="7">
        <v>57750</v>
      </c>
      <c r="AJ41" s="7">
        <v>1409622</v>
      </c>
      <c r="AK41" s="7">
        <v>2169293</v>
      </c>
      <c r="AL41" s="7">
        <v>-49745</v>
      </c>
      <c r="AM41" s="7">
        <v>-24922</v>
      </c>
      <c r="AN41" s="7">
        <v>-9582</v>
      </c>
      <c r="AO41" s="7">
        <v>14131</v>
      </c>
      <c r="AP41" s="7">
        <v>15917</v>
      </c>
      <c r="AQ41" s="7">
        <v>4217</v>
      </c>
      <c r="AR41" s="7">
        <v>303778</v>
      </c>
      <c r="AS41" s="7">
        <v>-107252</v>
      </c>
      <c r="AT41" s="7">
        <v>-1305</v>
      </c>
      <c r="AU41" s="7">
        <v>-6798</v>
      </c>
      <c r="AV41" s="7">
        <v>755</v>
      </c>
      <c r="AW41" s="7">
        <v>-114600</v>
      </c>
      <c r="AX41" s="7">
        <v>49765</v>
      </c>
      <c r="AY41" s="7">
        <v>0</v>
      </c>
      <c r="AZ41" s="7">
        <v>-73216</v>
      </c>
      <c r="BA41" s="7">
        <v>-23451</v>
      </c>
      <c r="BB41" s="7">
        <v>165727</v>
      </c>
      <c r="BC41" s="7">
        <v>473564</v>
      </c>
      <c r="BD41" s="7">
        <v>639291</v>
      </c>
      <c r="BE41" s="7">
        <v>52</v>
      </c>
      <c r="BF41" s="7">
        <v>62</v>
      </c>
      <c r="BG41" s="8">
        <v>6.98</v>
      </c>
      <c r="BH41" s="8">
        <v>35</v>
      </c>
      <c r="BI41" s="7">
        <v>21</v>
      </c>
      <c r="BJ41" s="7">
        <v>15</v>
      </c>
      <c r="BK41" s="8">
        <v>5.5</v>
      </c>
      <c r="BL41" s="6" t="s">
        <v>100</v>
      </c>
      <c r="BM41" s="6" t="s">
        <v>101</v>
      </c>
      <c r="BN41" s="6" t="s">
        <v>137</v>
      </c>
      <c r="BO41" s="6" t="s">
        <v>138</v>
      </c>
      <c r="BP41" s="6" t="s">
        <v>104</v>
      </c>
      <c r="BQ41" s="6" t="s">
        <v>105</v>
      </c>
      <c r="BR41" s="6" t="s">
        <v>115</v>
      </c>
      <c r="BS41" s="7">
        <v>2012</v>
      </c>
      <c r="BT41" s="6" t="s">
        <v>107</v>
      </c>
      <c r="BU41" s="6" t="s">
        <v>108</v>
      </c>
      <c r="BV41" s="6" t="s">
        <v>109</v>
      </c>
      <c r="BW41" s="6" t="s">
        <v>110</v>
      </c>
      <c r="BX41" s="6" t="s">
        <v>111</v>
      </c>
      <c r="BY41" s="7" t="b">
        <f t="shared" si="20"/>
        <v>1</v>
      </c>
      <c r="BZ41" s="7" t="b">
        <f t="shared" si="0"/>
        <v>1</v>
      </c>
      <c r="CA41" s="7" t="b">
        <f t="shared" si="1"/>
        <v>1</v>
      </c>
      <c r="CB41" s="7" t="b">
        <f t="shared" si="2"/>
        <v>1</v>
      </c>
      <c r="CC41" s="9">
        <f t="shared" si="21"/>
        <v>9.43588834159512</v>
      </c>
      <c r="CD41" s="9">
        <f t="shared" si="22"/>
        <v>35.0700525169522</v>
      </c>
      <c r="CE41" s="9">
        <f t="shared" si="23"/>
        <v>19.5066555147415</v>
      </c>
      <c r="CF41" s="9">
        <f t="shared" si="24"/>
        <v>15.018381702501</v>
      </c>
      <c r="CG41" s="9">
        <f t="shared" si="25"/>
        <v>2.70877089533086</v>
      </c>
      <c r="CH41" s="9">
        <f t="shared" si="26"/>
        <v>1.97925155422446</v>
      </c>
      <c r="CI41" s="9">
        <f t="shared" si="27"/>
        <v>17.0796199499099</v>
      </c>
      <c r="CJ41" s="9">
        <f t="shared" si="28"/>
        <v>0.262841385846702</v>
      </c>
      <c r="CK41" s="9">
        <f t="shared" si="29"/>
        <v>14.5165143790143</v>
      </c>
      <c r="CL41" s="9">
        <f t="shared" si="30"/>
        <v>22.5315010486245</v>
      </c>
      <c r="CM41" s="9">
        <f t="shared" si="31"/>
        <v>1.03726644449301</v>
      </c>
      <c r="CN41" s="10">
        <f t="shared" si="32"/>
        <v>196526</v>
      </c>
      <c r="CO41" s="11">
        <f t="shared" si="33"/>
        <v>50.3444306441365</v>
      </c>
      <c r="CP41" s="11">
        <f t="shared" si="34"/>
        <v>68.4079159157072</v>
      </c>
      <c r="CQ41" s="11">
        <f t="shared" si="35"/>
        <v>52.9632222044958</v>
      </c>
      <c r="CR41" s="9">
        <f t="shared" si="36"/>
        <v>15.7653763262599</v>
      </c>
      <c r="CS41" s="10">
        <f t="shared" si="37"/>
        <v>805612</v>
      </c>
    </row>
    <row r="42" spans="1:97">
      <c r="A42" s="6" t="s">
        <v>136</v>
      </c>
      <c r="B42" s="7">
        <v>2023</v>
      </c>
      <c r="C42" s="7">
        <v>2175406</v>
      </c>
      <c r="D42" s="7">
        <v>1396606</v>
      </c>
      <c r="E42" s="7">
        <v>778800</v>
      </c>
      <c r="F42" s="7">
        <v>160634</v>
      </c>
      <c r="G42" s="7">
        <v>115514</v>
      </c>
      <c r="H42" s="7">
        <v>67749</v>
      </c>
      <c r="I42" s="7">
        <v>434903</v>
      </c>
      <c r="J42" s="7">
        <v>11507</v>
      </c>
      <c r="K42" s="7">
        <v>29494</v>
      </c>
      <c r="L42" s="7">
        <v>4478</v>
      </c>
      <c r="M42" s="7">
        <v>421394</v>
      </c>
      <c r="N42" s="7">
        <v>84279</v>
      </c>
      <c r="O42" s="7">
        <v>337115</v>
      </c>
      <c r="P42" s="7">
        <v>762711</v>
      </c>
      <c r="Q42" s="7">
        <v>405281</v>
      </c>
      <c r="R42" s="7">
        <v>306105</v>
      </c>
      <c r="S42" s="7">
        <v>108654</v>
      </c>
      <c r="T42" s="7">
        <v>1582751</v>
      </c>
      <c r="U42" s="7">
        <v>836261</v>
      </c>
      <c r="V42" s="7">
        <v>38956</v>
      </c>
      <c r="W42" s="7">
        <v>48784</v>
      </c>
      <c r="X42" s="7">
        <v>37289</v>
      </c>
      <c r="Y42" s="7">
        <v>2544041</v>
      </c>
      <c r="Z42" s="7">
        <v>159892</v>
      </c>
      <c r="AA42" s="7">
        <v>206621</v>
      </c>
      <c r="AB42" s="7">
        <v>157407</v>
      </c>
      <c r="AC42" s="7">
        <v>523920</v>
      </c>
      <c r="AD42" s="7">
        <v>296943</v>
      </c>
      <c r="AE42" s="7">
        <v>60720</v>
      </c>
      <c r="AF42" s="7">
        <v>881583</v>
      </c>
      <c r="AG42" s="7">
        <v>594000</v>
      </c>
      <c r="AH42" s="7">
        <v>1010708</v>
      </c>
      <c r="AI42" s="7">
        <v>57750</v>
      </c>
      <c r="AJ42" s="7">
        <v>1662458</v>
      </c>
      <c r="AK42" s="7">
        <v>2544041</v>
      </c>
      <c r="AL42" s="7">
        <v>-111440</v>
      </c>
      <c r="AM42" s="7">
        <v>-56342</v>
      </c>
      <c r="AN42" s="7">
        <v>-14480</v>
      </c>
      <c r="AO42" s="7">
        <v>15830</v>
      </c>
      <c r="AP42" s="7">
        <v>6418</v>
      </c>
      <c r="AQ42" s="7">
        <v>13336</v>
      </c>
      <c r="AR42" s="7">
        <v>258186</v>
      </c>
      <c r="AS42" s="7">
        <v>-126174</v>
      </c>
      <c r="AT42" s="7">
        <v>-4327</v>
      </c>
      <c r="AU42" s="7">
        <v>-1585</v>
      </c>
      <c r="AV42" s="7">
        <v>-4729</v>
      </c>
      <c r="AW42" s="7">
        <v>-136815</v>
      </c>
      <c r="AX42" s="7">
        <v>86328</v>
      </c>
      <c r="AY42" s="7">
        <v>0</v>
      </c>
      <c r="AZ42" s="7">
        <v>-84279</v>
      </c>
      <c r="BA42" s="7">
        <v>2049</v>
      </c>
      <c r="BB42" s="7">
        <v>123420</v>
      </c>
      <c r="BC42" s="7">
        <v>639291</v>
      </c>
      <c r="BD42" s="7">
        <v>762711</v>
      </c>
      <c r="BE42" s="7">
        <v>61</v>
      </c>
      <c r="BF42" s="7">
        <v>74</v>
      </c>
      <c r="BG42" s="8">
        <v>7.13</v>
      </c>
      <c r="BH42" s="8">
        <v>35</v>
      </c>
      <c r="BI42" s="7">
        <v>20</v>
      </c>
      <c r="BJ42" s="7">
        <v>4</v>
      </c>
      <c r="BK42" s="8">
        <v>5.8</v>
      </c>
      <c r="BL42" s="6" t="s">
        <v>100</v>
      </c>
      <c r="BM42" s="6" t="s">
        <v>101</v>
      </c>
      <c r="BN42" s="6" t="s">
        <v>137</v>
      </c>
      <c r="BO42" s="6" t="s">
        <v>138</v>
      </c>
      <c r="BP42" s="6" t="s">
        <v>104</v>
      </c>
      <c r="BQ42" s="6" t="s">
        <v>105</v>
      </c>
      <c r="BR42" s="6" t="s">
        <v>115</v>
      </c>
      <c r="BS42" s="7">
        <v>2012</v>
      </c>
      <c r="BT42" s="6" t="s">
        <v>107</v>
      </c>
      <c r="BU42" s="6" t="s">
        <v>108</v>
      </c>
      <c r="BV42" s="6" t="s">
        <v>109</v>
      </c>
      <c r="BW42" s="6" t="s">
        <v>110</v>
      </c>
      <c r="BX42" s="6" t="s">
        <v>111</v>
      </c>
      <c r="BY42" s="7" t="b">
        <f t="shared" si="20"/>
        <v>1</v>
      </c>
      <c r="BZ42" s="7" t="b">
        <f t="shared" si="0"/>
        <v>1</v>
      </c>
      <c r="CA42" s="7" t="b">
        <f t="shared" si="1"/>
        <v>1</v>
      </c>
      <c r="CB42" s="7" t="b">
        <f t="shared" si="2"/>
        <v>1</v>
      </c>
      <c r="CC42" s="9">
        <f t="shared" si="21"/>
        <v>11.557165325581</v>
      </c>
      <c r="CD42" s="9">
        <f t="shared" si="22"/>
        <v>35.8002138451397</v>
      </c>
      <c r="CE42" s="9">
        <f t="shared" si="23"/>
        <v>19.9918084256456</v>
      </c>
      <c r="CF42" s="9">
        <f t="shared" si="24"/>
        <v>15.4966475223476</v>
      </c>
      <c r="CG42" s="9">
        <f t="shared" si="25"/>
        <v>3.02097839364789</v>
      </c>
      <c r="CH42" s="9">
        <f t="shared" si="26"/>
        <v>2.22933272255306</v>
      </c>
      <c r="CI42" s="9">
        <f t="shared" si="27"/>
        <v>17.9570612266076</v>
      </c>
      <c r="CJ42" s="9">
        <f t="shared" si="28"/>
        <v>0.274794912112065</v>
      </c>
      <c r="CK42" s="9">
        <f t="shared" si="29"/>
        <v>14.3047363076752</v>
      </c>
      <c r="CL42" s="9">
        <f t="shared" si="30"/>
        <v>21.9470196088644</v>
      </c>
      <c r="CM42" s="9">
        <f t="shared" si="31"/>
        <v>0.765869213769782</v>
      </c>
      <c r="CN42" s="10">
        <f t="shared" si="32"/>
        <v>132012</v>
      </c>
      <c r="CO42" s="11">
        <f t="shared" si="33"/>
        <v>58.6510127304972</v>
      </c>
      <c r="CP42" s="11">
        <f t="shared" si="34"/>
        <v>72.6374582380428</v>
      </c>
      <c r="CQ42" s="11">
        <f t="shared" si="35"/>
        <v>51.931389382546</v>
      </c>
      <c r="CR42" s="9">
        <f t="shared" si="36"/>
        <v>14.7454736556588</v>
      </c>
      <c r="CS42" s="10">
        <f t="shared" si="37"/>
        <v>1058831</v>
      </c>
    </row>
    <row r="43" spans="1:97">
      <c r="A43" s="6" t="s">
        <v>136</v>
      </c>
      <c r="B43" s="7">
        <v>2024</v>
      </c>
      <c r="C43" s="7">
        <v>2410536</v>
      </c>
      <c r="D43" s="7">
        <v>1540052</v>
      </c>
      <c r="E43" s="7">
        <v>870484</v>
      </c>
      <c r="F43" s="7">
        <v>179341</v>
      </c>
      <c r="G43" s="7">
        <v>128183</v>
      </c>
      <c r="H43" s="7">
        <v>75329</v>
      </c>
      <c r="I43" s="7">
        <v>487631</v>
      </c>
      <c r="J43" s="7">
        <v>13729</v>
      </c>
      <c r="K43" s="7">
        <v>38837</v>
      </c>
      <c r="L43" s="7">
        <v>-2148</v>
      </c>
      <c r="M43" s="7">
        <v>460375</v>
      </c>
      <c r="N43" s="7">
        <v>92075</v>
      </c>
      <c r="O43" s="7">
        <v>368300</v>
      </c>
      <c r="P43" s="7">
        <v>830312</v>
      </c>
      <c r="Q43" s="7">
        <v>594379</v>
      </c>
      <c r="R43" s="7">
        <v>400835</v>
      </c>
      <c r="S43" s="7">
        <v>110252</v>
      </c>
      <c r="T43" s="7">
        <v>1935778</v>
      </c>
      <c r="U43" s="7">
        <v>905564</v>
      </c>
      <c r="V43" s="7">
        <v>44855</v>
      </c>
      <c r="W43" s="7">
        <v>57339</v>
      </c>
      <c r="X43" s="7">
        <v>44977</v>
      </c>
      <c r="Y43" s="7">
        <v>2988513</v>
      </c>
      <c r="Z43" s="7">
        <v>202485</v>
      </c>
      <c r="AA43" s="7">
        <v>223624</v>
      </c>
      <c r="AB43" s="7">
        <v>184939</v>
      </c>
      <c r="AC43" s="7">
        <v>611048</v>
      </c>
      <c r="AD43" s="7">
        <v>376044</v>
      </c>
      <c r="AE43" s="7">
        <v>62738</v>
      </c>
      <c r="AF43" s="7">
        <v>1049830</v>
      </c>
      <c r="AG43" s="7">
        <v>594000</v>
      </c>
      <c r="AH43" s="7">
        <v>1286933</v>
      </c>
      <c r="AI43" s="7">
        <v>57750</v>
      </c>
      <c r="AJ43" s="7">
        <v>1938683</v>
      </c>
      <c r="AK43" s="7">
        <v>2988513</v>
      </c>
      <c r="AL43" s="7">
        <v>-189098</v>
      </c>
      <c r="AM43" s="7">
        <v>-94730</v>
      </c>
      <c r="AN43" s="7">
        <v>-1598</v>
      </c>
      <c r="AO43" s="7">
        <v>17003</v>
      </c>
      <c r="AP43" s="7">
        <v>27532</v>
      </c>
      <c r="AQ43" s="7">
        <v>2018</v>
      </c>
      <c r="AR43" s="7">
        <v>204756</v>
      </c>
      <c r="AS43" s="7">
        <v>-144632</v>
      </c>
      <c r="AT43" s="7">
        <v>-5899</v>
      </c>
      <c r="AU43" s="7">
        <v>-8555</v>
      </c>
      <c r="AV43" s="7">
        <v>-7688</v>
      </c>
      <c r="AW43" s="7">
        <v>-166774</v>
      </c>
      <c r="AX43" s="7">
        <v>121694</v>
      </c>
      <c r="AY43" s="7">
        <v>0</v>
      </c>
      <c r="AZ43" s="7">
        <v>-92075</v>
      </c>
      <c r="BA43" s="7">
        <v>29619</v>
      </c>
      <c r="BB43" s="7">
        <v>67601</v>
      </c>
      <c r="BC43" s="7">
        <v>762711</v>
      </c>
      <c r="BD43" s="7">
        <v>830312</v>
      </c>
      <c r="BE43" s="7">
        <v>85</v>
      </c>
      <c r="BF43" s="7">
        <v>86</v>
      </c>
      <c r="BG43" s="8">
        <v>7.5</v>
      </c>
      <c r="BH43" s="8">
        <v>35</v>
      </c>
      <c r="BI43" s="7">
        <v>16</v>
      </c>
      <c r="BJ43" s="7">
        <v>4</v>
      </c>
      <c r="BK43" s="8">
        <v>6</v>
      </c>
      <c r="BL43" s="6" t="s">
        <v>100</v>
      </c>
      <c r="BM43" s="6" t="s">
        <v>101</v>
      </c>
      <c r="BN43" s="6" t="s">
        <v>137</v>
      </c>
      <c r="BO43" s="6" t="s">
        <v>138</v>
      </c>
      <c r="BP43" s="6" t="s">
        <v>104</v>
      </c>
      <c r="BQ43" s="6" t="s">
        <v>105</v>
      </c>
      <c r="BR43" s="6" t="s">
        <v>115</v>
      </c>
      <c r="BS43" s="7">
        <v>2012</v>
      </c>
      <c r="BT43" s="6" t="s">
        <v>107</v>
      </c>
      <c r="BU43" s="6" t="s">
        <v>108</v>
      </c>
      <c r="BV43" s="6" t="s">
        <v>109</v>
      </c>
      <c r="BW43" s="6" t="s">
        <v>110</v>
      </c>
      <c r="BX43" s="6" t="s">
        <v>111</v>
      </c>
      <c r="BY43" s="7" t="b">
        <f t="shared" si="20"/>
        <v>1</v>
      </c>
      <c r="BZ43" s="7" t="b">
        <f t="shared" si="0"/>
        <v>1</v>
      </c>
      <c r="CA43" s="7" t="b">
        <f t="shared" si="1"/>
        <v>1</v>
      </c>
      <c r="CB43" s="7" t="b">
        <f t="shared" si="2"/>
        <v>1</v>
      </c>
      <c r="CC43" s="9">
        <f t="shared" si="21"/>
        <v>10.8085571153155</v>
      </c>
      <c r="CD43" s="9">
        <f t="shared" si="22"/>
        <v>36.1116365820714</v>
      </c>
      <c r="CE43" s="9">
        <f t="shared" si="23"/>
        <v>20.2291523544971</v>
      </c>
      <c r="CF43" s="9">
        <f t="shared" si="24"/>
        <v>15.2787595787825</v>
      </c>
      <c r="CG43" s="9">
        <f t="shared" si="25"/>
        <v>3.16796389154371</v>
      </c>
      <c r="CH43" s="9">
        <f t="shared" si="26"/>
        <v>2.33155333132585</v>
      </c>
      <c r="CI43" s="9">
        <f t="shared" si="27"/>
        <v>19.3584234032109</v>
      </c>
      <c r="CJ43" s="9">
        <f t="shared" si="28"/>
        <v>0.298413407452379</v>
      </c>
      <c r="CK43" s="9">
        <f t="shared" si="29"/>
        <v>13.313923370653</v>
      </c>
      <c r="CL43" s="9">
        <f t="shared" si="30"/>
        <v>20.454628130362</v>
      </c>
      <c r="CM43" s="9">
        <f t="shared" si="31"/>
        <v>0.55594895465653</v>
      </c>
      <c r="CN43" s="10">
        <f t="shared" si="32"/>
        <v>60124</v>
      </c>
      <c r="CO43" s="11">
        <f t="shared" si="33"/>
        <v>75.6835616642937</v>
      </c>
      <c r="CP43" s="11">
        <f t="shared" si="34"/>
        <v>83.7741517818879</v>
      </c>
      <c r="CQ43" s="11">
        <f t="shared" si="35"/>
        <v>50.9851047237366</v>
      </c>
      <c r="CR43" s="9">
        <f t="shared" si="36"/>
        <v>12.5558359296547</v>
      </c>
      <c r="CS43" s="10">
        <f t="shared" si="37"/>
        <v>1324730</v>
      </c>
    </row>
    <row r="44" spans="1:97">
      <c r="A44" s="6" t="s">
        <v>136</v>
      </c>
      <c r="B44" s="7">
        <v>2025</v>
      </c>
      <c r="C44" s="7">
        <v>2656882</v>
      </c>
      <c r="D44" s="7">
        <v>1720831</v>
      </c>
      <c r="E44" s="7">
        <v>936051</v>
      </c>
      <c r="F44" s="7">
        <v>194967</v>
      </c>
      <c r="G44" s="7">
        <v>139380</v>
      </c>
      <c r="H44" s="7">
        <v>82821</v>
      </c>
      <c r="I44" s="7">
        <v>518883</v>
      </c>
      <c r="J44" s="7">
        <v>14946</v>
      </c>
      <c r="K44" s="7">
        <v>51686</v>
      </c>
      <c r="L44" s="7">
        <v>3069</v>
      </c>
      <c r="M44" s="7">
        <v>485212</v>
      </c>
      <c r="N44" s="7">
        <v>97042</v>
      </c>
      <c r="O44" s="7">
        <v>388170</v>
      </c>
      <c r="P44" s="7">
        <v>862081</v>
      </c>
      <c r="Q44" s="7">
        <v>815262</v>
      </c>
      <c r="R44" s="7">
        <v>518607</v>
      </c>
      <c r="S44" s="7">
        <v>123613</v>
      </c>
      <c r="T44" s="7">
        <v>2319563</v>
      </c>
      <c r="U44" s="7">
        <v>982156</v>
      </c>
      <c r="V44" s="7">
        <v>45907</v>
      </c>
      <c r="W44" s="7">
        <v>64623</v>
      </c>
      <c r="X44" s="7">
        <v>47167</v>
      </c>
      <c r="Y44" s="7">
        <v>3459416</v>
      </c>
      <c r="Z44" s="7">
        <v>251075</v>
      </c>
      <c r="AA44" s="7">
        <v>245159</v>
      </c>
      <c r="AB44" s="7">
        <v>203289</v>
      </c>
      <c r="AC44" s="7">
        <v>699523</v>
      </c>
      <c r="AD44" s="7">
        <v>466283</v>
      </c>
      <c r="AE44" s="7">
        <v>63799</v>
      </c>
      <c r="AF44" s="7">
        <v>1229605</v>
      </c>
      <c r="AG44" s="7">
        <v>594000</v>
      </c>
      <c r="AH44" s="7">
        <v>1578061</v>
      </c>
      <c r="AI44" s="7">
        <v>57750</v>
      </c>
      <c r="AJ44" s="7">
        <v>2229811</v>
      </c>
      <c r="AK44" s="7">
        <v>3459416</v>
      </c>
      <c r="AL44" s="7">
        <v>-220883</v>
      </c>
      <c r="AM44" s="7">
        <v>-117772</v>
      </c>
      <c r="AN44" s="7">
        <v>-13361</v>
      </c>
      <c r="AO44" s="7">
        <v>21535</v>
      </c>
      <c r="AP44" s="7">
        <v>18350</v>
      </c>
      <c r="AQ44" s="7">
        <v>1061</v>
      </c>
      <c r="AR44" s="7">
        <v>159921</v>
      </c>
      <c r="AS44" s="7">
        <v>-159413</v>
      </c>
      <c r="AT44" s="7">
        <v>-1052</v>
      </c>
      <c r="AU44" s="7">
        <v>-7284</v>
      </c>
      <c r="AV44" s="7">
        <v>-2190</v>
      </c>
      <c r="AW44" s="7">
        <v>-169939</v>
      </c>
      <c r="AX44" s="7">
        <v>138829</v>
      </c>
      <c r="AY44" s="7">
        <v>0</v>
      </c>
      <c r="AZ44" s="7">
        <v>-97042</v>
      </c>
      <c r="BA44" s="7">
        <v>41787</v>
      </c>
      <c r="BB44" s="7">
        <v>31769</v>
      </c>
      <c r="BC44" s="7">
        <v>830312</v>
      </c>
      <c r="BD44" s="7">
        <v>862081</v>
      </c>
      <c r="BE44" s="7">
        <v>104</v>
      </c>
      <c r="BF44" s="7">
        <v>102</v>
      </c>
      <c r="BG44" s="8">
        <v>7.98</v>
      </c>
      <c r="BH44" s="8">
        <v>35</v>
      </c>
      <c r="BI44" s="7">
        <v>22</v>
      </c>
      <c r="BJ44" s="7">
        <v>5</v>
      </c>
      <c r="BK44" s="8">
        <v>6</v>
      </c>
      <c r="BL44" s="6" t="s">
        <v>100</v>
      </c>
      <c r="BM44" s="6" t="s">
        <v>101</v>
      </c>
      <c r="BN44" s="6" t="s">
        <v>137</v>
      </c>
      <c r="BO44" s="6" t="s">
        <v>138</v>
      </c>
      <c r="BP44" s="6" t="s">
        <v>104</v>
      </c>
      <c r="BQ44" s="6" t="s">
        <v>105</v>
      </c>
      <c r="BR44" s="6" t="s">
        <v>115</v>
      </c>
      <c r="BS44" s="7">
        <v>2012</v>
      </c>
      <c r="BT44" s="6" t="s">
        <v>107</v>
      </c>
      <c r="BU44" s="6" t="s">
        <v>108</v>
      </c>
      <c r="BV44" s="6" t="s">
        <v>109</v>
      </c>
      <c r="BW44" s="6" t="s">
        <v>110</v>
      </c>
      <c r="BX44" s="6" t="s">
        <v>111</v>
      </c>
      <c r="BY44" s="7" t="b">
        <f t="shared" si="20"/>
        <v>1</v>
      </c>
      <c r="BZ44" s="7" t="b">
        <f t="shared" si="0"/>
        <v>1</v>
      </c>
      <c r="CA44" s="7" t="b">
        <f t="shared" si="1"/>
        <v>1</v>
      </c>
      <c r="CB44" s="7" t="b">
        <f t="shared" si="2"/>
        <v>1</v>
      </c>
      <c r="CC44" s="9">
        <f t="shared" si="21"/>
        <v>10.2195528297441</v>
      </c>
      <c r="CD44" s="9">
        <f t="shared" si="22"/>
        <v>35.231184523814</v>
      </c>
      <c r="CE44" s="9">
        <f t="shared" si="23"/>
        <v>19.5297721163379</v>
      </c>
      <c r="CF44" s="9">
        <f t="shared" si="24"/>
        <v>14.6099826789447</v>
      </c>
      <c r="CG44" s="9">
        <f t="shared" si="25"/>
        <v>3.31592099187589</v>
      </c>
      <c r="CH44" s="9">
        <f t="shared" si="26"/>
        <v>2.3978382412015</v>
      </c>
      <c r="CI44" s="9">
        <f t="shared" si="27"/>
        <v>20.7363901884017</v>
      </c>
      <c r="CJ44" s="9">
        <f t="shared" si="28"/>
        <v>0.321712468007378</v>
      </c>
      <c r="CK44" s="9">
        <f t="shared" si="29"/>
        <v>12.040144982986</v>
      </c>
      <c r="CL44" s="9">
        <f t="shared" si="30"/>
        <v>18.6239922619536</v>
      </c>
      <c r="CM44" s="9">
        <f t="shared" si="31"/>
        <v>0.411987015998145</v>
      </c>
      <c r="CN44" s="10">
        <f t="shared" si="32"/>
        <v>508</v>
      </c>
      <c r="CO44" s="11">
        <f t="shared" si="33"/>
        <v>96.8275905742144</v>
      </c>
      <c r="CP44" s="11">
        <f t="shared" si="34"/>
        <v>97.5099617568489</v>
      </c>
      <c r="CQ44" s="11">
        <f t="shared" si="35"/>
        <v>49.7160369031009</v>
      </c>
      <c r="CR44" s="9">
        <f t="shared" si="36"/>
        <v>10.0391401927021</v>
      </c>
      <c r="CS44" s="10">
        <f t="shared" si="37"/>
        <v>1620040</v>
      </c>
    </row>
    <row r="45" spans="1:97">
      <c r="A45" s="6" t="s">
        <v>139</v>
      </c>
      <c r="B45" s="7">
        <v>2021</v>
      </c>
      <c r="C45" s="7">
        <v>694556</v>
      </c>
      <c r="D45" s="7">
        <v>553848</v>
      </c>
      <c r="E45" s="7">
        <v>140708</v>
      </c>
      <c r="F45" s="7">
        <v>62583</v>
      </c>
      <c r="G45" s="7">
        <v>47874</v>
      </c>
      <c r="H45" s="7">
        <v>20078</v>
      </c>
      <c r="I45" s="7">
        <v>10173</v>
      </c>
      <c r="J45" s="7">
        <v>3093</v>
      </c>
      <c r="K45" s="7">
        <v>34288</v>
      </c>
      <c r="L45" s="7">
        <v>201</v>
      </c>
      <c r="M45" s="7">
        <v>-20821</v>
      </c>
      <c r="N45" s="7">
        <v>0</v>
      </c>
      <c r="O45" s="7">
        <v>-20821</v>
      </c>
      <c r="P45" s="7">
        <v>154929</v>
      </c>
      <c r="Q45" s="7">
        <v>180775</v>
      </c>
      <c r="R45" s="7">
        <v>197261</v>
      </c>
      <c r="S45" s="7">
        <v>32499</v>
      </c>
      <c r="T45" s="7">
        <v>565464</v>
      </c>
      <c r="U45" s="7">
        <v>274359</v>
      </c>
      <c r="V45" s="7">
        <v>12541</v>
      </c>
      <c r="W45" s="7">
        <v>15289</v>
      </c>
      <c r="X45" s="7">
        <v>12022</v>
      </c>
      <c r="Y45" s="7">
        <v>879675</v>
      </c>
      <c r="Z45" s="7">
        <v>140023</v>
      </c>
      <c r="AA45" s="7">
        <v>63730</v>
      </c>
      <c r="AB45" s="7">
        <v>48708</v>
      </c>
      <c r="AC45" s="7">
        <v>252461</v>
      </c>
      <c r="AD45" s="7">
        <v>193364</v>
      </c>
      <c r="AE45" s="7">
        <v>19071</v>
      </c>
      <c r="AF45" s="7">
        <v>464896</v>
      </c>
      <c r="AG45" s="7">
        <v>259200</v>
      </c>
      <c r="AH45" s="7">
        <v>130379</v>
      </c>
      <c r="AI45" s="7">
        <v>25200</v>
      </c>
      <c r="AJ45" s="7">
        <v>414779</v>
      </c>
      <c r="AK45" s="7">
        <v>879675</v>
      </c>
      <c r="AL45" s="7">
        <v>704</v>
      </c>
      <c r="AM45" s="7">
        <v>-1</v>
      </c>
      <c r="AN45" s="7">
        <v>3501</v>
      </c>
      <c r="AO45" s="7">
        <v>607</v>
      </c>
      <c r="AP45" s="7">
        <v>-5292</v>
      </c>
      <c r="AQ45" s="7">
        <v>-1089</v>
      </c>
      <c r="AR45" s="7">
        <v>-2313</v>
      </c>
      <c r="AS45" s="7">
        <v>-20837</v>
      </c>
      <c r="AT45" s="7">
        <v>419</v>
      </c>
      <c r="AU45" s="7">
        <v>2711</v>
      </c>
      <c r="AV45" s="7">
        <v>938</v>
      </c>
      <c r="AW45" s="7">
        <v>-16769</v>
      </c>
      <c r="AX45" s="7">
        <v>2187</v>
      </c>
      <c r="AY45" s="7">
        <v>0</v>
      </c>
      <c r="AZ45" s="7">
        <v>0</v>
      </c>
      <c r="BA45" s="7">
        <v>2187</v>
      </c>
      <c r="BB45" s="7">
        <v>-16895</v>
      </c>
      <c r="BC45" s="7">
        <v>171824</v>
      </c>
      <c r="BD45" s="7">
        <v>154929</v>
      </c>
      <c r="BE45" s="7">
        <v>88</v>
      </c>
      <c r="BF45" s="7">
        <v>117</v>
      </c>
      <c r="BG45" s="8">
        <v>10.32</v>
      </c>
      <c r="BH45" s="8">
        <v>42</v>
      </c>
      <c r="BI45" s="7">
        <v>14</v>
      </c>
      <c r="BJ45" s="7">
        <v>15</v>
      </c>
      <c r="BK45" s="8">
        <v>3</v>
      </c>
      <c r="BL45" s="6" t="s">
        <v>100</v>
      </c>
      <c r="BM45" s="6" t="s">
        <v>101</v>
      </c>
      <c r="BN45" s="6" t="s">
        <v>140</v>
      </c>
      <c r="BO45" s="6" t="s">
        <v>141</v>
      </c>
      <c r="BP45" s="6" t="s">
        <v>104</v>
      </c>
      <c r="BQ45" s="6" t="s">
        <v>105</v>
      </c>
      <c r="BR45" s="6" t="s">
        <v>142</v>
      </c>
      <c r="BS45" s="7">
        <v>2014</v>
      </c>
      <c r="BT45" s="6" t="s">
        <v>107</v>
      </c>
      <c r="BU45" s="6" t="s">
        <v>108</v>
      </c>
      <c r="BV45" s="6" t="s">
        <v>109</v>
      </c>
      <c r="BW45" s="6" t="s">
        <v>110</v>
      </c>
      <c r="BX45" s="6" t="s">
        <v>120</v>
      </c>
      <c r="BY45" s="7" t="b">
        <f t="shared" si="20"/>
        <v>1</v>
      </c>
      <c r="BZ45" s="7" t="b">
        <f t="shared" si="0"/>
        <v>1</v>
      </c>
      <c r="CA45" s="7" t="b">
        <f t="shared" si="1"/>
        <v>1</v>
      </c>
      <c r="CB45" s="7" t="b">
        <f t="shared" si="2"/>
        <v>1</v>
      </c>
      <c r="CC45" s="9" t="str">
        <f t="shared" si="21"/>
        <v/>
      </c>
      <c r="CD45" s="9">
        <f t="shared" si="22"/>
        <v>20.2586976428107</v>
      </c>
      <c r="CE45" s="9">
        <f t="shared" si="23"/>
        <v>1.46467671433261</v>
      </c>
      <c r="CF45" s="9">
        <f t="shared" si="24"/>
        <v>-2.99774244265401</v>
      </c>
      <c r="CG45" s="9">
        <f t="shared" si="25"/>
        <v>2.23980733657872</v>
      </c>
      <c r="CH45" s="9">
        <f t="shared" si="26"/>
        <v>1.3297261755281</v>
      </c>
      <c r="CI45" s="9">
        <f t="shared" si="27"/>
        <v>37.8988831102396</v>
      </c>
      <c r="CJ45" s="9">
        <f t="shared" si="28"/>
        <v>0.80377020051642</v>
      </c>
      <c r="CK45" s="9" t="str">
        <f t="shared" si="29"/>
        <v/>
      </c>
      <c r="CL45" s="9" t="str">
        <f t="shared" si="30"/>
        <v/>
      </c>
      <c r="CM45" s="9">
        <f t="shared" si="31"/>
        <v>0.111089765140963</v>
      </c>
      <c r="CN45" s="10">
        <f t="shared" si="32"/>
        <v>-23150</v>
      </c>
      <c r="CO45" s="11" t="str">
        <f t="shared" si="33"/>
        <v/>
      </c>
      <c r="CP45" s="11" t="str">
        <f t="shared" si="34"/>
        <v/>
      </c>
      <c r="CQ45" s="11" t="str">
        <f t="shared" si="35"/>
        <v/>
      </c>
      <c r="CR45" s="9">
        <f t="shared" si="36"/>
        <v>0.296692720485301</v>
      </c>
      <c r="CS45" s="10">
        <f t="shared" si="37"/>
        <v>313003</v>
      </c>
    </row>
    <row r="46" spans="1:97">
      <c r="A46" s="6" t="s">
        <v>139</v>
      </c>
      <c r="B46" s="7">
        <v>2022</v>
      </c>
      <c r="C46" s="7">
        <v>683964</v>
      </c>
      <c r="D46" s="7">
        <v>553379</v>
      </c>
      <c r="E46" s="7">
        <v>130585</v>
      </c>
      <c r="F46" s="7">
        <v>62671</v>
      </c>
      <c r="G46" s="7">
        <v>49702</v>
      </c>
      <c r="H46" s="7">
        <v>19406</v>
      </c>
      <c r="I46" s="7">
        <v>-1194</v>
      </c>
      <c r="J46" s="7">
        <v>2789</v>
      </c>
      <c r="K46" s="7">
        <v>38465</v>
      </c>
      <c r="L46" s="7">
        <v>1113</v>
      </c>
      <c r="M46" s="7">
        <v>-35757</v>
      </c>
      <c r="N46" s="7">
        <v>0</v>
      </c>
      <c r="O46" s="7">
        <v>-35757</v>
      </c>
      <c r="P46" s="7">
        <v>116546</v>
      </c>
      <c r="Q46" s="7">
        <v>187387</v>
      </c>
      <c r="R46" s="7">
        <v>212255</v>
      </c>
      <c r="S46" s="7">
        <v>34737</v>
      </c>
      <c r="T46" s="7">
        <v>550925</v>
      </c>
      <c r="U46" s="7">
        <v>272052</v>
      </c>
      <c r="V46" s="7">
        <v>12416</v>
      </c>
      <c r="W46" s="7">
        <v>16418</v>
      </c>
      <c r="X46" s="7">
        <v>12037</v>
      </c>
      <c r="Y46" s="7">
        <v>863848</v>
      </c>
      <c r="Z46" s="7">
        <v>149378</v>
      </c>
      <c r="AA46" s="7">
        <v>60644</v>
      </c>
      <c r="AB46" s="7">
        <v>49944</v>
      </c>
      <c r="AC46" s="7">
        <v>259966</v>
      </c>
      <c r="AD46" s="7">
        <v>206283</v>
      </c>
      <c r="AE46" s="7">
        <v>18577</v>
      </c>
      <c r="AF46" s="7">
        <v>484826</v>
      </c>
      <c r="AG46" s="7">
        <v>259200</v>
      </c>
      <c r="AH46" s="7">
        <v>94622</v>
      </c>
      <c r="AI46" s="7">
        <v>25200</v>
      </c>
      <c r="AJ46" s="7">
        <v>379022</v>
      </c>
      <c r="AK46" s="7">
        <v>863848</v>
      </c>
      <c r="AL46" s="7">
        <v>-6612</v>
      </c>
      <c r="AM46" s="7">
        <v>-14994</v>
      </c>
      <c r="AN46" s="7">
        <v>-2238</v>
      </c>
      <c r="AO46" s="7">
        <v>-3086</v>
      </c>
      <c r="AP46" s="7">
        <v>1236</v>
      </c>
      <c r="AQ46" s="7">
        <v>-494</v>
      </c>
      <c r="AR46" s="7">
        <v>-42539</v>
      </c>
      <c r="AS46" s="7">
        <v>-17099</v>
      </c>
      <c r="AT46" s="7">
        <v>125</v>
      </c>
      <c r="AU46" s="7">
        <v>-1129</v>
      </c>
      <c r="AV46" s="7">
        <v>-15</v>
      </c>
      <c r="AW46" s="7">
        <v>-18118</v>
      </c>
      <c r="AX46" s="7">
        <v>22274</v>
      </c>
      <c r="AY46" s="7">
        <v>0</v>
      </c>
      <c r="AZ46" s="7">
        <v>0</v>
      </c>
      <c r="BA46" s="7">
        <v>22274</v>
      </c>
      <c r="BB46" s="7">
        <v>-38383</v>
      </c>
      <c r="BC46" s="7">
        <v>154929</v>
      </c>
      <c r="BD46" s="7">
        <v>116546</v>
      </c>
      <c r="BE46" s="7">
        <v>89</v>
      </c>
      <c r="BF46" s="7">
        <v>131</v>
      </c>
      <c r="BG46" s="8">
        <v>11.16</v>
      </c>
      <c r="BH46" s="8">
        <v>42</v>
      </c>
      <c r="BI46" s="7">
        <v>21</v>
      </c>
      <c r="BJ46" s="7">
        <v>26</v>
      </c>
      <c r="BK46" s="8">
        <v>2.5</v>
      </c>
      <c r="BL46" s="6" t="s">
        <v>100</v>
      </c>
      <c r="BM46" s="6" t="s">
        <v>101</v>
      </c>
      <c r="BN46" s="6" t="s">
        <v>140</v>
      </c>
      <c r="BO46" s="6" t="s">
        <v>141</v>
      </c>
      <c r="BP46" s="6" t="s">
        <v>104</v>
      </c>
      <c r="BQ46" s="6" t="s">
        <v>105</v>
      </c>
      <c r="BR46" s="6" t="s">
        <v>142</v>
      </c>
      <c r="BS46" s="7">
        <v>2014</v>
      </c>
      <c r="BT46" s="6" t="s">
        <v>107</v>
      </c>
      <c r="BU46" s="6" t="s">
        <v>108</v>
      </c>
      <c r="BV46" s="6" t="s">
        <v>109</v>
      </c>
      <c r="BW46" s="6" t="s">
        <v>110</v>
      </c>
      <c r="BX46" s="6" t="s">
        <v>120</v>
      </c>
      <c r="BY46" s="7" t="b">
        <f t="shared" si="20"/>
        <v>1</v>
      </c>
      <c r="BZ46" s="7" t="b">
        <f t="shared" si="0"/>
        <v>1</v>
      </c>
      <c r="CA46" s="7" t="b">
        <f t="shared" si="1"/>
        <v>1</v>
      </c>
      <c r="CB46" s="7" t="b">
        <f t="shared" si="2"/>
        <v>1</v>
      </c>
      <c r="CC46" s="9">
        <f t="shared" si="21"/>
        <v>-1.5250030235143</v>
      </c>
      <c r="CD46" s="9">
        <f t="shared" si="22"/>
        <v>19.0923791310654</v>
      </c>
      <c r="CE46" s="9">
        <f t="shared" si="23"/>
        <v>-0.174570591434637</v>
      </c>
      <c r="CF46" s="9">
        <f t="shared" si="24"/>
        <v>-5.22790673193326</v>
      </c>
      <c r="CG46" s="9">
        <f t="shared" si="25"/>
        <v>2.11921943638784</v>
      </c>
      <c r="CH46" s="9">
        <f t="shared" si="26"/>
        <v>1.16912596262588</v>
      </c>
      <c r="CI46" s="9">
        <f t="shared" si="27"/>
        <v>41.1717107639307</v>
      </c>
      <c r="CJ46" s="9">
        <f t="shared" si="28"/>
        <v>0.938365055326604</v>
      </c>
      <c r="CK46" s="9">
        <f t="shared" si="29"/>
        <v>-4.10169524577536</v>
      </c>
      <c r="CL46" s="9">
        <f t="shared" si="30"/>
        <v>-9.00905894550397</v>
      </c>
      <c r="CM46" s="9">
        <f t="shared" si="31"/>
        <v>1.18966915568979</v>
      </c>
      <c r="CN46" s="10">
        <f t="shared" si="32"/>
        <v>-59638</v>
      </c>
      <c r="CO46" s="11">
        <f t="shared" si="33"/>
        <v>98.235528478107</v>
      </c>
      <c r="CP46" s="11">
        <f t="shared" si="34"/>
        <v>135.055124968602</v>
      </c>
      <c r="CQ46" s="11">
        <f t="shared" si="35"/>
        <v>41.0175575871148</v>
      </c>
      <c r="CR46" s="9">
        <f t="shared" si="36"/>
        <v>-0.0310412062914338</v>
      </c>
      <c r="CS46" s="10">
        <f t="shared" si="37"/>
        <v>290959</v>
      </c>
    </row>
    <row r="47" spans="1:97">
      <c r="A47" s="6" t="s">
        <v>139</v>
      </c>
      <c r="B47" s="7">
        <v>2023</v>
      </c>
      <c r="C47" s="7">
        <v>718708</v>
      </c>
      <c r="D47" s="7">
        <v>552227</v>
      </c>
      <c r="E47" s="7">
        <v>166481</v>
      </c>
      <c r="F47" s="7">
        <v>63705</v>
      </c>
      <c r="G47" s="7">
        <v>48075</v>
      </c>
      <c r="H47" s="7">
        <v>19680</v>
      </c>
      <c r="I47" s="7">
        <v>35021</v>
      </c>
      <c r="J47" s="7">
        <v>2098</v>
      </c>
      <c r="K47" s="7">
        <v>34719</v>
      </c>
      <c r="L47" s="7">
        <v>-410</v>
      </c>
      <c r="M47" s="7">
        <v>1990</v>
      </c>
      <c r="N47" s="7">
        <v>398</v>
      </c>
      <c r="O47" s="7">
        <v>1592</v>
      </c>
      <c r="P47" s="7">
        <v>162328</v>
      </c>
      <c r="Q47" s="7">
        <v>173278</v>
      </c>
      <c r="R47" s="7">
        <v>181554</v>
      </c>
      <c r="S47" s="7">
        <v>32889</v>
      </c>
      <c r="T47" s="7">
        <v>550049</v>
      </c>
      <c r="U47" s="7">
        <v>281120</v>
      </c>
      <c r="V47" s="7">
        <v>12477</v>
      </c>
      <c r="W47" s="7">
        <v>16623</v>
      </c>
      <c r="X47" s="7">
        <v>13634</v>
      </c>
      <c r="Y47" s="7">
        <v>873903</v>
      </c>
      <c r="Z47" s="7">
        <v>158691</v>
      </c>
      <c r="AA47" s="7">
        <v>69596</v>
      </c>
      <c r="AB47" s="7">
        <v>55026</v>
      </c>
      <c r="AC47" s="7">
        <v>283313</v>
      </c>
      <c r="AD47" s="7">
        <v>171915</v>
      </c>
      <c r="AE47" s="7">
        <v>17325</v>
      </c>
      <c r="AF47" s="7">
        <v>472553</v>
      </c>
      <c r="AG47" s="7">
        <v>279936</v>
      </c>
      <c r="AH47" s="7">
        <v>96214</v>
      </c>
      <c r="AI47" s="7">
        <v>25200</v>
      </c>
      <c r="AJ47" s="7">
        <v>401350</v>
      </c>
      <c r="AK47" s="7">
        <v>873903</v>
      </c>
      <c r="AL47" s="7">
        <v>14109</v>
      </c>
      <c r="AM47" s="7">
        <v>30701</v>
      </c>
      <c r="AN47" s="7">
        <v>1848</v>
      </c>
      <c r="AO47" s="7">
        <v>8952</v>
      </c>
      <c r="AP47" s="7">
        <v>5082</v>
      </c>
      <c r="AQ47" s="7">
        <v>-1252</v>
      </c>
      <c r="AR47" s="7">
        <v>80712</v>
      </c>
      <c r="AS47" s="7">
        <v>-28748</v>
      </c>
      <c r="AT47" s="7">
        <v>-61</v>
      </c>
      <c r="AU47" s="7">
        <v>-205</v>
      </c>
      <c r="AV47" s="7">
        <v>-1597</v>
      </c>
      <c r="AW47" s="7">
        <v>-30611</v>
      </c>
      <c r="AX47" s="7">
        <v>-25055</v>
      </c>
      <c r="AY47" s="7">
        <v>20736</v>
      </c>
      <c r="AZ47" s="7">
        <v>0</v>
      </c>
      <c r="BA47" s="7">
        <v>-4319</v>
      </c>
      <c r="BB47" s="7">
        <v>45782</v>
      </c>
      <c r="BC47" s="7">
        <v>116546</v>
      </c>
      <c r="BD47" s="7">
        <v>162328</v>
      </c>
      <c r="BE47" s="7">
        <v>78</v>
      </c>
      <c r="BF47" s="7">
        <v>111</v>
      </c>
      <c r="BG47" s="8">
        <v>10.12</v>
      </c>
      <c r="BH47" s="8">
        <v>48</v>
      </c>
      <c r="BI47" s="7">
        <v>18</v>
      </c>
      <c r="BJ47" s="7">
        <v>30</v>
      </c>
      <c r="BK47" s="8">
        <v>4</v>
      </c>
      <c r="BL47" s="6" t="s">
        <v>100</v>
      </c>
      <c r="BM47" s="6" t="s">
        <v>101</v>
      </c>
      <c r="BN47" s="6" t="s">
        <v>140</v>
      </c>
      <c r="BO47" s="6" t="s">
        <v>141</v>
      </c>
      <c r="BP47" s="6" t="s">
        <v>104</v>
      </c>
      <c r="BQ47" s="6" t="s">
        <v>105</v>
      </c>
      <c r="BR47" s="6" t="s">
        <v>142</v>
      </c>
      <c r="BS47" s="7">
        <v>2014</v>
      </c>
      <c r="BT47" s="6" t="s">
        <v>107</v>
      </c>
      <c r="BU47" s="6" t="s">
        <v>108</v>
      </c>
      <c r="BV47" s="6" t="s">
        <v>109</v>
      </c>
      <c r="BW47" s="6" t="s">
        <v>110</v>
      </c>
      <c r="BX47" s="6" t="s">
        <v>120</v>
      </c>
      <c r="BY47" s="7" t="b">
        <f t="shared" si="20"/>
        <v>1</v>
      </c>
      <c r="BZ47" s="7" t="b">
        <f t="shared" si="0"/>
        <v>1</v>
      </c>
      <c r="CA47" s="7" t="b">
        <f t="shared" si="1"/>
        <v>1</v>
      </c>
      <c r="CB47" s="7" t="b">
        <f t="shared" si="2"/>
        <v>1</v>
      </c>
      <c r="CC47" s="9">
        <f t="shared" si="21"/>
        <v>5.07979952161225</v>
      </c>
      <c r="CD47" s="9">
        <f t="shared" si="22"/>
        <v>23.1639274921108</v>
      </c>
      <c r="CE47" s="9">
        <f t="shared" si="23"/>
        <v>4.87277169587649</v>
      </c>
      <c r="CF47" s="9">
        <f t="shared" si="24"/>
        <v>0.221508595980565</v>
      </c>
      <c r="CG47" s="9">
        <f t="shared" si="25"/>
        <v>1.94148874213326</v>
      </c>
      <c r="CH47" s="9">
        <f t="shared" si="26"/>
        <v>1.18457677550977</v>
      </c>
      <c r="CI47" s="9">
        <f t="shared" si="27"/>
        <v>37.8309720872912</v>
      </c>
      <c r="CJ47" s="9">
        <f t="shared" si="28"/>
        <v>0.823734894730285</v>
      </c>
      <c r="CK47" s="9">
        <f t="shared" si="29"/>
        <v>0.183225329750925</v>
      </c>
      <c r="CL47" s="9">
        <f t="shared" si="30"/>
        <v>0.408010538563659</v>
      </c>
      <c r="CM47" s="9">
        <f t="shared" si="31"/>
        <v>50.6984924623116</v>
      </c>
      <c r="CN47" s="10">
        <f t="shared" si="32"/>
        <v>51964</v>
      </c>
      <c r="CO47" s="11">
        <f t="shared" si="33"/>
        <v>91.5828994529072</v>
      </c>
      <c r="CP47" s="11">
        <f t="shared" si="34"/>
        <v>130.146013324231</v>
      </c>
      <c r="CQ47" s="11">
        <f t="shared" si="35"/>
        <v>43.0417201621797</v>
      </c>
      <c r="CR47" s="9">
        <f t="shared" si="36"/>
        <v>1.00869840721219</v>
      </c>
      <c r="CS47" s="10">
        <f t="shared" si="37"/>
        <v>266736</v>
      </c>
    </row>
    <row r="48" spans="1:97">
      <c r="A48" s="6" t="s">
        <v>139</v>
      </c>
      <c r="B48" s="7">
        <v>2024</v>
      </c>
      <c r="C48" s="7">
        <v>782182</v>
      </c>
      <c r="D48" s="7">
        <v>570988</v>
      </c>
      <c r="E48" s="7">
        <v>211194</v>
      </c>
      <c r="F48" s="7">
        <v>64026</v>
      </c>
      <c r="G48" s="7">
        <v>47686</v>
      </c>
      <c r="H48" s="7">
        <v>22592</v>
      </c>
      <c r="I48" s="7">
        <v>76890</v>
      </c>
      <c r="J48" s="7">
        <v>2922</v>
      </c>
      <c r="K48" s="7">
        <v>27197</v>
      </c>
      <c r="L48" s="7">
        <v>-366</v>
      </c>
      <c r="M48" s="7">
        <v>52249</v>
      </c>
      <c r="N48" s="7">
        <v>10450</v>
      </c>
      <c r="O48" s="7">
        <v>41799</v>
      </c>
      <c r="P48" s="7">
        <v>210525</v>
      </c>
      <c r="Q48" s="7">
        <v>154293</v>
      </c>
      <c r="R48" s="7">
        <v>148613</v>
      </c>
      <c r="S48" s="7">
        <v>37744</v>
      </c>
      <c r="T48" s="7">
        <v>551175</v>
      </c>
      <c r="U48" s="7">
        <v>297637</v>
      </c>
      <c r="V48" s="7">
        <v>14524</v>
      </c>
      <c r="W48" s="7">
        <v>19254</v>
      </c>
      <c r="X48" s="7">
        <v>13071</v>
      </c>
      <c r="Y48" s="7">
        <v>895661</v>
      </c>
      <c r="Z48" s="7">
        <v>142670</v>
      </c>
      <c r="AA48" s="7">
        <v>81346</v>
      </c>
      <c r="AB48" s="7">
        <v>56390</v>
      </c>
      <c r="AC48" s="7">
        <v>280406</v>
      </c>
      <c r="AD48" s="7">
        <v>154559</v>
      </c>
      <c r="AE48" s="7">
        <v>21727</v>
      </c>
      <c r="AF48" s="7">
        <v>456692</v>
      </c>
      <c r="AG48" s="7">
        <v>279936</v>
      </c>
      <c r="AH48" s="7">
        <v>133833</v>
      </c>
      <c r="AI48" s="7">
        <v>25200</v>
      </c>
      <c r="AJ48" s="7">
        <v>438969</v>
      </c>
      <c r="AK48" s="7">
        <v>895661</v>
      </c>
      <c r="AL48" s="7">
        <v>18985</v>
      </c>
      <c r="AM48" s="7">
        <v>32941</v>
      </c>
      <c r="AN48" s="7">
        <v>-4855</v>
      </c>
      <c r="AO48" s="7">
        <v>11750</v>
      </c>
      <c r="AP48" s="7">
        <v>1364</v>
      </c>
      <c r="AQ48" s="7">
        <v>4402</v>
      </c>
      <c r="AR48" s="7">
        <v>128978</v>
      </c>
      <c r="AS48" s="7">
        <v>-39109</v>
      </c>
      <c r="AT48" s="7">
        <v>-2047</v>
      </c>
      <c r="AU48" s="7">
        <v>-2631</v>
      </c>
      <c r="AV48" s="7">
        <v>563</v>
      </c>
      <c r="AW48" s="7">
        <v>-43224</v>
      </c>
      <c r="AX48" s="7">
        <v>-33377</v>
      </c>
      <c r="AY48" s="7">
        <v>0</v>
      </c>
      <c r="AZ48" s="7">
        <v>-4180</v>
      </c>
      <c r="BA48" s="7">
        <v>-37557</v>
      </c>
      <c r="BB48" s="7">
        <v>48197</v>
      </c>
      <c r="BC48" s="7">
        <v>162328</v>
      </c>
      <c r="BD48" s="7">
        <v>210525</v>
      </c>
      <c r="BE48" s="7">
        <v>67</v>
      </c>
      <c r="BF48" s="7">
        <v>80</v>
      </c>
      <c r="BG48" s="8">
        <v>8.66</v>
      </c>
      <c r="BH48" s="8">
        <v>48</v>
      </c>
      <c r="BI48" s="7">
        <v>20</v>
      </c>
      <c r="BJ48" s="7">
        <v>11</v>
      </c>
      <c r="BK48" s="8">
        <v>5</v>
      </c>
      <c r="BL48" s="6" t="s">
        <v>100</v>
      </c>
      <c r="BM48" s="6" t="s">
        <v>101</v>
      </c>
      <c r="BN48" s="6" t="s">
        <v>140</v>
      </c>
      <c r="BO48" s="6" t="s">
        <v>141</v>
      </c>
      <c r="BP48" s="6" t="s">
        <v>104</v>
      </c>
      <c r="BQ48" s="6" t="s">
        <v>105</v>
      </c>
      <c r="BR48" s="6" t="s">
        <v>142</v>
      </c>
      <c r="BS48" s="7">
        <v>2014</v>
      </c>
      <c r="BT48" s="6" t="s">
        <v>107</v>
      </c>
      <c r="BU48" s="6" t="s">
        <v>108</v>
      </c>
      <c r="BV48" s="6" t="s">
        <v>109</v>
      </c>
      <c r="BW48" s="6" t="s">
        <v>110</v>
      </c>
      <c r="BX48" s="6" t="s">
        <v>120</v>
      </c>
      <c r="BY48" s="7" t="b">
        <f t="shared" si="20"/>
        <v>1</v>
      </c>
      <c r="BZ48" s="7" t="b">
        <f t="shared" si="0"/>
        <v>1</v>
      </c>
      <c r="CA48" s="7" t="b">
        <f t="shared" si="1"/>
        <v>1</v>
      </c>
      <c r="CB48" s="7" t="b">
        <f t="shared" si="2"/>
        <v>1</v>
      </c>
      <c r="CC48" s="9">
        <f t="shared" si="21"/>
        <v>8.83168129476783</v>
      </c>
      <c r="CD48" s="9">
        <f t="shared" si="22"/>
        <v>27.0006213387677</v>
      </c>
      <c r="CE48" s="9">
        <f t="shared" si="23"/>
        <v>9.83019297299094</v>
      </c>
      <c r="CF48" s="9">
        <f t="shared" si="24"/>
        <v>5.34389694470085</v>
      </c>
      <c r="CG48" s="9">
        <f t="shared" si="25"/>
        <v>1.96563197649123</v>
      </c>
      <c r="CH48" s="9">
        <f t="shared" si="26"/>
        <v>1.30103492792594</v>
      </c>
      <c r="CI48" s="9">
        <f t="shared" si="27"/>
        <v>33.1854351144015</v>
      </c>
      <c r="CJ48" s="9">
        <f t="shared" si="28"/>
        <v>0.677107039449255</v>
      </c>
      <c r="CK48" s="9">
        <f t="shared" si="29"/>
        <v>4.7242145522852</v>
      </c>
      <c r="CL48" s="9">
        <f t="shared" si="30"/>
        <v>9.94836484715923</v>
      </c>
      <c r="CM48" s="9">
        <f t="shared" si="31"/>
        <v>3.08567190602646</v>
      </c>
      <c r="CN48" s="10">
        <f t="shared" si="32"/>
        <v>89869</v>
      </c>
      <c r="CO48" s="11">
        <f t="shared" si="33"/>
        <v>76.4294083729874</v>
      </c>
      <c r="CP48" s="11">
        <f t="shared" si="34"/>
        <v>105.528448058453</v>
      </c>
      <c r="CQ48" s="11">
        <f t="shared" si="35"/>
        <v>48.2442976034523</v>
      </c>
      <c r="CR48" s="9">
        <f t="shared" si="36"/>
        <v>2.8271500533147</v>
      </c>
      <c r="CS48" s="10">
        <f t="shared" si="37"/>
        <v>270769</v>
      </c>
    </row>
    <row r="49" spans="1:97">
      <c r="A49" s="6" t="s">
        <v>139</v>
      </c>
      <c r="B49" s="7">
        <v>2025</v>
      </c>
      <c r="C49" s="7">
        <v>871329</v>
      </c>
      <c r="D49" s="7">
        <v>611930</v>
      </c>
      <c r="E49" s="7">
        <v>259399</v>
      </c>
      <c r="F49" s="7">
        <v>68709</v>
      </c>
      <c r="G49" s="7">
        <v>51217</v>
      </c>
      <c r="H49" s="7">
        <v>23762</v>
      </c>
      <c r="I49" s="7">
        <v>115711</v>
      </c>
      <c r="J49" s="7">
        <v>3789</v>
      </c>
      <c r="K49" s="7">
        <v>21984</v>
      </c>
      <c r="L49" s="7">
        <v>998</v>
      </c>
      <c r="M49" s="7">
        <v>98514</v>
      </c>
      <c r="N49" s="7">
        <v>19703</v>
      </c>
      <c r="O49" s="7">
        <v>78811</v>
      </c>
      <c r="P49" s="7">
        <v>263429</v>
      </c>
      <c r="Q49" s="7">
        <v>143232</v>
      </c>
      <c r="R49" s="7">
        <v>134122</v>
      </c>
      <c r="S49" s="7">
        <v>44030</v>
      </c>
      <c r="T49" s="7">
        <v>584813</v>
      </c>
      <c r="U49" s="7">
        <v>321798</v>
      </c>
      <c r="V49" s="7">
        <v>15864</v>
      </c>
      <c r="W49" s="7">
        <v>19415</v>
      </c>
      <c r="X49" s="7">
        <v>16541</v>
      </c>
      <c r="Y49" s="7">
        <v>958431</v>
      </c>
      <c r="Z49" s="7">
        <v>125472</v>
      </c>
      <c r="AA49" s="7">
        <v>97238</v>
      </c>
      <c r="AB49" s="7">
        <v>67041</v>
      </c>
      <c r="AC49" s="7">
        <v>289751</v>
      </c>
      <c r="AD49" s="7">
        <v>135927</v>
      </c>
      <c r="AE49" s="7">
        <v>22854</v>
      </c>
      <c r="AF49" s="7">
        <v>448532</v>
      </c>
      <c r="AG49" s="7">
        <v>279936</v>
      </c>
      <c r="AH49" s="7">
        <v>204763</v>
      </c>
      <c r="AI49" s="7">
        <v>25200</v>
      </c>
      <c r="AJ49" s="7">
        <v>509899</v>
      </c>
      <c r="AK49" s="7">
        <v>958431</v>
      </c>
      <c r="AL49" s="7">
        <v>11061</v>
      </c>
      <c r="AM49" s="7">
        <v>14491</v>
      </c>
      <c r="AN49" s="7">
        <v>-6286</v>
      </c>
      <c r="AO49" s="7">
        <v>15892</v>
      </c>
      <c r="AP49" s="7">
        <v>10651</v>
      </c>
      <c r="AQ49" s="7">
        <v>1127</v>
      </c>
      <c r="AR49" s="7">
        <v>149509</v>
      </c>
      <c r="AS49" s="7">
        <v>-47923</v>
      </c>
      <c r="AT49" s="7">
        <v>-1340</v>
      </c>
      <c r="AU49" s="7">
        <v>-161</v>
      </c>
      <c r="AV49" s="7">
        <v>-3470</v>
      </c>
      <c r="AW49" s="7">
        <v>-52894</v>
      </c>
      <c r="AX49" s="7">
        <v>-35830</v>
      </c>
      <c r="AY49" s="7">
        <v>0</v>
      </c>
      <c r="AZ49" s="7">
        <v>-7881</v>
      </c>
      <c r="BA49" s="7">
        <v>-43711</v>
      </c>
      <c r="BB49" s="7">
        <v>52904</v>
      </c>
      <c r="BC49" s="7">
        <v>210525</v>
      </c>
      <c r="BD49" s="7">
        <v>263429</v>
      </c>
      <c r="BE49" s="7">
        <v>53</v>
      </c>
      <c r="BF49" s="7">
        <v>73</v>
      </c>
      <c r="BG49" s="8">
        <v>7.87</v>
      </c>
      <c r="BH49" s="8">
        <v>48</v>
      </c>
      <c r="BI49" s="7">
        <v>14</v>
      </c>
      <c r="BJ49" s="7">
        <v>8</v>
      </c>
      <c r="BK49" s="8">
        <v>5.5</v>
      </c>
      <c r="BL49" s="6" t="s">
        <v>100</v>
      </c>
      <c r="BM49" s="6" t="s">
        <v>101</v>
      </c>
      <c r="BN49" s="6" t="s">
        <v>140</v>
      </c>
      <c r="BO49" s="6" t="s">
        <v>141</v>
      </c>
      <c r="BP49" s="6" t="s">
        <v>104</v>
      </c>
      <c r="BQ49" s="6" t="s">
        <v>105</v>
      </c>
      <c r="BR49" s="6" t="s">
        <v>142</v>
      </c>
      <c r="BS49" s="7">
        <v>2014</v>
      </c>
      <c r="BT49" s="6" t="s">
        <v>107</v>
      </c>
      <c r="BU49" s="6" t="s">
        <v>108</v>
      </c>
      <c r="BV49" s="6" t="s">
        <v>109</v>
      </c>
      <c r="BW49" s="6" t="s">
        <v>110</v>
      </c>
      <c r="BX49" s="6" t="s">
        <v>120</v>
      </c>
      <c r="BY49" s="7" t="b">
        <f t="shared" si="20"/>
        <v>1</v>
      </c>
      <c r="BZ49" s="7" t="b">
        <f t="shared" si="0"/>
        <v>1</v>
      </c>
      <c r="CA49" s="7" t="b">
        <f t="shared" si="1"/>
        <v>1</v>
      </c>
      <c r="CB49" s="7" t="b">
        <f t="shared" si="2"/>
        <v>1</v>
      </c>
      <c r="CC49" s="9">
        <f t="shared" si="21"/>
        <v>11.3972195729383</v>
      </c>
      <c r="CD49" s="9">
        <f t="shared" si="22"/>
        <v>29.7705000063122</v>
      </c>
      <c r="CE49" s="9">
        <f t="shared" si="23"/>
        <v>13.2798288591336</v>
      </c>
      <c r="CF49" s="9">
        <f t="shared" si="24"/>
        <v>9.0449187390756</v>
      </c>
      <c r="CG49" s="9">
        <f t="shared" si="25"/>
        <v>2.01832953121818</v>
      </c>
      <c r="CH49" s="9">
        <f t="shared" si="26"/>
        <v>1.40348437106343</v>
      </c>
      <c r="CI49" s="9">
        <f t="shared" si="27"/>
        <v>27.2736378518641</v>
      </c>
      <c r="CJ49" s="9">
        <f t="shared" si="28"/>
        <v>0.512648583346898</v>
      </c>
      <c r="CK49" s="9">
        <f t="shared" si="29"/>
        <v>8.50130414240502</v>
      </c>
      <c r="CL49" s="9">
        <f t="shared" si="30"/>
        <v>16.6115834868496</v>
      </c>
      <c r="CM49" s="9">
        <f t="shared" si="31"/>
        <v>1.89705751735164</v>
      </c>
      <c r="CN49" s="10">
        <f t="shared" si="32"/>
        <v>101586</v>
      </c>
      <c r="CO49" s="11">
        <f t="shared" si="33"/>
        <v>62.3166593789487</v>
      </c>
      <c r="CP49" s="11">
        <f t="shared" si="34"/>
        <v>84.3219608451947</v>
      </c>
      <c r="CQ49" s="11">
        <f t="shared" si="35"/>
        <v>53.2603075515173</v>
      </c>
      <c r="CR49" s="9">
        <f t="shared" si="36"/>
        <v>5.26341885007278</v>
      </c>
      <c r="CS49" s="10">
        <f t="shared" si="37"/>
        <v>295062</v>
      </c>
    </row>
    <row r="50" spans="1:97">
      <c r="A50" s="6" t="s">
        <v>143</v>
      </c>
      <c r="B50" s="7">
        <v>2021</v>
      </c>
      <c r="C50" s="7">
        <v>2631810</v>
      </c>
      <c r="D50" s="7">
        <v>1631486</v>
      </c>
      <c r="E50" s="7">
        <v>1000324</v>
      </c>
      <c r="F50" s="7">
        <v>181448</v>
      </c>
      <c r="G50" s="7">
        <v>126943</v>
      </c>
      <c r="H50" s="7">
        <v>80898</v>
      </c>
      <c r="I50" s="7">
        <v>611035</v>
      </c>
      <c r="J50" s="7">
        <v>8761</v>
      </c>
      <c r="K50" s="7">
        <v>21311</v>
      </c>
      <c r="L50" s="7">
        <v>5627</v>
      </c>
      <c r="M50" s="7">
        <v>604112</v>
      </c>
      <c r="N50" s="7">
        <v>120822</v>
      </c>
      <c r="O50" s="7">
        <v>483290</v>
      </c>
      <c r="P50" s="7">
        <v>769236</v>
      </c>
      <c r="Q50" s="7">
        <v>259576</v>
      </c>
      <c r="R50" s="7">
        <v>277129</v>
      </c>
      <c r="S50" s="7">
        <v>118459</v>
      </c>
      <c r="T50" s="7">
        <v>1424400</v>
      </c>
      <c r="U50" s="7">
        <v>1085011</v>
      </c>
      <c r="V50" s="7">
        <v>48899</v>
      </c>
      <c r="W50" s="7">
        <v>58301</v>
      </c>
      <c r="X50" s="7">
        <v>45984</v>
      </c>
      <c r="Y50" s="7">
        <v>2662595</v>
      </c>
      <c r="Z50" s="7">
        <v>119747</v>
      </c>
      <c r="AA50" s="7">
        <v>268189</v>
      </c>
      <c r="AB50" s="7">
        <v>198534</v>
      </c>
      <c r="AC50" s="7">
        <v>586470</v>
      </c>
      <c r="AD50" s="7">
        <v>222388</v>
      </c>
      <c r="AE50" s="7">
        <v>73100</v>
      </c>
      <c r="AF50" s="7">
        <v>881958</v>
      </c>
      <c r="AG50" s="7">
        <v>864000</v>
      </c>
      <c r="AH50" s="7">
        <v>832637</v>
      </c>
      <c r="AI50" s="7">
        <v>84000</v>
      </c>
      <c r="AJ50" s="7">
        <v>1780637</v>
      </c>
      <c r="AK50" s="7">
        <v>2662595</v>
      </c>
      <c r="AL50" s="7">
        <v>-29439</v>
      </c>
      <c r="AM50" s="7">
        <v>-44756</v>
      </c>
      <c r="AN50" s="7">
        <v>1541</v>
      </c>
      <c r="AO50" s="7">
        <v>31740</v>
      </c>
      <c r="AP50" s="7">
        <v>18534</v>
      </c>
      <c r="AQ50" s="7">
        <v>5900</v>
      </c>
      <c r="AR50" s="7">
        <v>547708</v>
      </c>
      <c r="AS50" s="7">
        <v>-157909</v>
      </c>
      <c r="AT50" s="7">
        <v>-5699</v>
      </c>
      <c r="AU50" s="7">
        <v>1699</v>
      </c>
      <c r="AV50" s="7">
        <v>-2784</v>
      </c>
      <c r="AW50" s="7">
        <v>-164693</v>
      </c>
      <c r="AX50" s="7">
        <v>54135</v>
      </c>
      <c r="AY50" s="7">
        <v>0</v>
      </c>
      <c r="AZ50" s="7">
        <v>-154653</v>
      </c>
      <c r="BA50" s="7">
        <v>-100518</v>
      </c>
      <c r="BB50" s="7">
        <v>282497</v>
      </c>
      <c r="BC50" s="7">
        <v>486739</v>
      </c>
      <c r="BD50" s="7">
        <v>769236</v>
      </c>
      <c r="BE50" s="7">
        <v>32</v>
      </c>
      <c r="BF50" s="7">
        <v>49</v>
      </c>
      <c r="BG50" s="8">
        <v>6.76</v>
      </c>
      <c r="BH50" s="8">
        <v>35</v>
      </c>
      <c r="BI50" s="7">
        <v>11</v>
      </c>
      <c r="BJ50" s="7">
        <v>27</v>
      </c>
      <c r="BK50" s="8">
        <v>6</v>
      </c>
      <c r="BL50" s="6" t="s">
        <v>100</v>
      </c>
      <c r="BM50" s="6" t="s">
        <v>101</v>
      </c>
      <c r="BN50" s="6" t="s">
        <v>144</v>
      </c>
      <c r="BO50" s="6" t="s">
        <v>145</v>
      </c>
      <c r="BP50" s="6" t="s">
        <v>104</v>
      </c>
      <c r="BQ50" s="6" t="s">
        <v>105</v>
      </c>
      <c r="BR50" s="6" t="s">
        <v>115</v>
      </c>
      <c r="BS50" s="7">
        <v>1997</v>
      </c>
      <c r="BT50" s="6" t="s">
        <v>107</v>
      </c>
      <c r="BU50" s="6" t="s">
        <v>108</v>
      </c>
      <c r="BV50" s="6" t="s">
        <v>109</v>
      </c>
      <c r="BW50" s="6" t="s">
        <v>110</v>
      </c>
      <c r="BX50" s="6" t="s">
        <v>111</v>
      </c>
      <c r="BY50" s="7" t="b">
        <f t="shared" si="20"/>
        <v>1</v>
      </c>
      <c r="BZ50" s="7" t="b">
        <f t="shared" si="0"/>
        <v>1</v>
      </c>
      <c r="CA50" s="7" t="b">
        <f t="shared" si="1"/>
        <v>1</v>
      </c>
      <c r="CB50" s="7" t="b">
        <f t="shared" si="2"/>
        <v>1</v>
      </c>
      <c r="CC50" s="9" t="str">
        <f t="shared" si="21"/>
        <v/>
      </c>
      <c r="CD50" s="9">
        <f t="shared" si="22"/>
        <v>38.0089748120115</v>
      </c>
      <c r="CE50" s="9">
        <f t="shared" si="23"/>
        <v>23.2172915218044</v>
      </c>
      <c r="CF50" s="9">
        <f t="shared" si="24"/>
        <v>18.3634076928046</v>
      </c>
      <c r="CG50" s="9">
        <f t="shared" si="25"/>
        <v>2.42876873497366</v>
      </c>
      <c r="CH50" s="9">
        <f t="shared" si="26"/>
        <v>1.75424488891162</v>
      </c>
      <c r="CI50" s="9">
        <f t="shared" si="27"/>
        <v>12.8496823587515</v>
      </c>
      <c r="CJ50" s="9">
        <f t="shared" si="28"/>
        <v>0.192141913259131</v>
      </c>
      <c r="CK50" s="9" t="str">
        <f t="shared" si="29"/>
        <v/>
      </c>
      <c r="CL50" s="9" t="str">
        <f t="shared" si="30"/>
        <v/>
      </c>
      <c r="CM50" s="9">
        <f t="shared" si="31"/>
        <v>1.13329057087877</v>
      </c>
      <c r="CN50" s="10">
        <f t="shared" si="32"/>
        <v>389799</v>
      </c>
      <c r="CO50" s="11" t="str">
        <f t="shared" si="33"/>
        <v/>
      </c>
      <c r="CP50" s="11" t="str">
        <f t="shared" si="34"/>
        <v/>
      </c>
      <c r="CQ50" s="11" t="str">
        <f t="shared" si="35"/>
        <v/>
      </c>
      <c r="CR50" s="9">
        <f t="shared" si="36"/>
        <v>28.6722819201351</v>
      </c>
      <c r="CS50" s="10">
        <f t="shared" si="37"/>
        <v>837930</v>
      </c>
    </row>
    <row r="51" spans="1:97">
      <c r="A51" s="6" t="s">
        <v>143</v>
      </c>
      <c r="B51" s="7">
        <v>2022</v>
      </c>
      <c r="C51" s="7">
        <v>2936831</v>
      </c>
      <c r="D51" s="7">
        <v>1798540</v>
      </c>
      <c r="E51" s="7">
        <v>1138291</v>
      </c>
      <c r="F51" s="7">
        <v>198131</v>
      </c>
      <c r="G51" s="7">
        <v>141113</v>
      </c>
      <c r="H51" s="7">
        <v>92266</v>
      </c>
      <c r="I51" s="7">
        <v>706781</v>
      </c>
      <c r="J51" s="7">
        <v>13846</v>
      </c>
      <c r="K51" s="7">
        <v>23151</v>
      </c>
      <c r="L51" s="7">
        <v>7272</v>
      </c>
      <c r="M51" s="7">
        <v>704748</v>
      </c>
      <c r="N51" s="7">
        <v>140950</v>
      </c>
      <c r="O51" s="7">
        <v>563798</v>
      </c>
      <c r="P51" s="7">
        <v>1017792</v>
      </c>
      <c r="Q51" s="7">
        <v>281614</v>
      </c>
      <c r="R51" s="7">
        <v>295650</v>
      </c>
      <c r="S51" s="7">
        <v>141659</v>
      </c>
      <c r="T51" s="7">
        <v>1736715</v>
      </c>
      <c r="U51" s="7">
        <v>1174829</v>
      </c>
      <c r="V51" s="7">
        <v>55657</v>
      </c>
      <c r="W51" s="7">
        <v>71612</v>
      </c>
      <c r="X51" s="7">
        <v>56757</v>
      </c>
      <c r="Y51" s="7">
        <v>3095570</v>
      </c>
      <c r="Z51" s="7">
        <v>123347</v>
      </c>
      <c r="AA51" s="7">
        <v>300578</v>
      </c>
      <c r="AB51" s="7">
        <v>207037</v>
      </c>
      <c r="AC51" s="7">
        <v>630962</v>
      </c>
      <c r="AD51" s="7">
        <v>229073</v>
      </c>
      <c r="AE51" s="7">
        <v>71515</v>
      </c>
      <c r="AF51" s="7">
        <v>931550</v>
      </c>
      <c r="AG51" s="7">
        <v>864000</v>
      </c>
      <c r="AH51" s="7">
        <v>1216020</v>
      </c>
      <c r="AI51" s="7">
        <v>84000</v>
      </c>
      <c r="AJ51" s="7">
        <v>2164020</v>
      </c>
      <c r="AK51" s="7">
        <v>3095570</v>
      </c>
      <c r="AL51" s="7">
        <v>-22038</v>
      </c>
      <c r="AM51" s="7">
        <v>-18521</v>
      </c>
      <c r="AN51" s="7">
        <v>-23200</v>
      </c>
      <c r="AO51" s="7">
        <v>32389</v>
      </c>
      <c r="AP51" s="7">
        <v>8503</v>
      </c>
      <c r="AQ51" s="7">
        <v>-1585</v>
      </c>
      <c r="AR51" s="7">
        <v>631612</v>
      </c>
      <c r="AS51" s="7">
        <v>-182084</v>
      </c>
      <c r="AT51" s="7">
        <v>-6758</v>
      </c>
      <c r="AU51" s="7">
        <v>-13311</v>
      </c>
      <c r="AV51" s="7">
        <v>-10773</v>
      </c>
      <c r="AW51" s="7">
        <v>-212926</v>
      </c>
      <c r="AX51" s="7">
        <v>10285</v>
      </c>
      <c r="AY51" s="7">
        <v>0</v>
      </c>
      <c r="AZ51" s="7">
        <v>-180415</v>
      </c>
      <c r="BA51" s="7">
        <v>-170130</v>
      </c>
      <c r="BB51" s="7">
        <v>248556</v>
      </c>
      <c r="BC51" s="7">
        <v>769236</v>
      </c>
      <c r="BD51" s="7">
        <v>1017792</v>
      </c>
      <c r="BE51" s="7">
        <v>30</v>
      </c>
      <c r="BF51" s="7">
        <v>47</v>
      </c>
      <c r="BG51" s="8">
        <v>6.67</v>
      </c>
      <c r="BH51" s="8">
        <v>35</v>
      </c>
      <c r="BI51" s="7">
        <v>18</v>
      </c>
      <c r="BJ51" s="7">
        <v>19</v>
      </c>
      <c r="BK51" s="8">
        <v>6.2</v>
      </c>
      <c r="BL51" s="6" t="s">
        <v>100</v>
      </c>
      <c r="BM51" s="6" t="s">
        <v>101</v>
      </c>
      <c r="BN51" s="6" t="s">
        <v>144</v>
      </c>
      <c r="BO51" s="6" t="s">
        <v>145</v>
      </c>
      <c r="BP51" s="6" t="s">
        <v>104</v>
      </c>
      <c r="BQ51" s="6" t="s">
        <v>105</v>
      </c>
      <c r="BR51" s="6" t="s">
        <v>115</v>
      </c>
      <c r="BS51" s="7">
        <v>1997</v>
      </c>
      <c r="BT51" s="6" t="s">
        <v>107</v>
      </c>
      <c r="BU51" s="6" t="s">
        <v>108</v>
      </c>
      <c r="BV51" s="6" t="s">
        <v>109</v>
      </c>
      <c r="BW51" s="6" t="s">
        <v>110</v>
      </c>
      <c r="BX51" s="6" t="s">
        <v>111</v>
      </c>
      <c r="BY51" s="7" t="b">
        <f t="shared" si="20"/>
        <v>1</v>
      </c>
      <c r="BZ51" s="7" t="b">
        <f t="shared" si="0"/>
        <v>1</v>
      </c>
      <c r="CA51" s="7" t="b">
        <f t="shared" si="1"/>
        <v>1</v>
      </c>
      <c r="CB51" s="7" t="b">
        <f t="shared" si="2"/>
        <v>1</v>
      </c>
      <c r="CC51" s="9">
        <f t="shared" si="21"/>
        <v>11.5897804172794</v>
      </c>
      <c r="CD51" s="9">
        <f t="shared" si="22"/>
        <v>38.7591591072145</v>
      </c>
      <c r="CE51" s="9">
        <f t="shared" si="23"/>
        <v>24.0661107159384</v>
      </c>
      <c r="CF51" s="9">
        <f t="shared" si="24"/>
        <v>19.1974955317483</v>
      </c>
      <c r="CG51" s="9">
        <f t="shared" si="25"/>
        <v>2.75248747151175</v>
      </c>
      <c r="CH51" s="9">
        <f t="shared" si="26"/>
        <v>2.05940452832342</v>
      </c>
      <c r="CI51" s="9">
        <f t="shared" si="27"/>
        <v>11.3846561376419</v>
      </c>
      <c r="CJ51" s="9">
        <f t="shared" si="28"/>
        <v>0.16285431742775</v>
      </c>
      <c r="CK51" s="9">
        <f t="shared" si="29"/>
        <v>19.5825579850525</v>
      </c>
      <c r="CL51" s="9">
        <f t="shared" si="30"/>
        <v>28.5854004543361</v>
      </c>
      <c r="CM51" s="9">
        <f t="shared" si="31"/>
        <v>1.12028066789879</v>
      </c>
      <c r="CN51" s="10">
        <f t="shared" si="32"/>
        <v>449528</v>
      </c>
      <c r="CO51" s="11">
        <f t="shared" si="33"/>
        <v>33.6305272588038</v>
      </c>
      <c r="CP51" s="11">
        <f t="shared" si="34"/>
        <v>58.1205686278871</v>
      </c>
      <c r="CQ51" s="11">
        <f t="shared" si="35"/>
        <v>57.7134662003625</v>
      </c>
      <c r="CR51" s="9">
        <f t="shared" si="36"/>
        <v>30.5291780052697</v>
      </c>
      <c r="CS51" s="10">
        <f t="shared" si="37"/>
        <v>1105753</v>
      </c>
    </row>
    <row r="52" spans="1:97">
      <c r="A52" s="6" t="s">
        <v>143</v>
      </c>
      <c r="B52" s="7">
        <v>2023</v>
      </c>
      <c r="C52" s="7">
        <v>3271262</v>
      </c>
      <c r="D52" s="7">
        <v>1991463</v>
      </c>
      <c r="E52" s="7">
        <v>1279799</v>
      </c>
      <c r="F52" s="7">
        <v>218481</v>
      </c>
      <c r="G52" s="7">
        <v>155796</v>
      </c>
      <c r="H52" s="7">
        <v>104662</v>
      </c>
      <c r="I52" s="7">
        <v>800860</v>
      </c>
      <c r="J52" s="7">
        <v>18320</v>
      </c>
      <c r="K52" s="7">
        <v>22660</v>
      </c>
      <c r="L52" s="7">
        <v>9800</v>
      </c>
      <c r="M52" s="7">
        <v>806320</v>
      </c>
      <c r="N52" s="7">
        <v>161264</v>
      </c>
      <c r="O52" s="7">
        <v>645056</v>
      </c>
      <c r="P52" s="7">
        <v>1392796</v>
      </c>
      <c r="Q52" s="7">
        <v>304720</v>
      </c>
      <c r="R52" s="7">
        <v>316452</v>
      </c>
      <c r="S52" s="7">
        <v>161161</v>
      </c>
      <c r="T52" s="7">
        <v>2175129</v>
      </c>
      <c r="U52" s="7">
        <v>1266443</v>
      </c>
      <c r="V52" s="7">
        <v>59458</v>
      </c>
      <c r="W52" s="7">
        <v>78199</v>
      </c>
      <c r="X52" s="7">
        <v>63528</v>
      </c>
      <c r="Y52" s="7">
        <v>3642757</v>
      </c>
      <c r="Z52" s="7">
        <v>125944</v>
      </c>
      <c r="AA52" s="7">
        <v>338276</v>
      </c>
      <c r="AB52" s="7">
        <v>251575</v>
      </c>
      <c r="AC52" s="7">
        <v>715795</v>
      </c>
      <c r="AD52" s="7">
        <v>233895</v>
      </c>
      <c r="AE52" s="7">
        <v>90409</v>
      </c>
      <c r="AF52" s="7">
        <v>1040099</v>
      </c>
      <c r="AG52" s="7">
        <v>864000</v>
      </c>
      <c r="AH52" s="7">
        <v>1654658</v>
      </c>
      <c r="AI52" s="7">
        <v>84000</v>
      </c>
      <c r="AJ52" s="7">
        <v>2602658</v>
      </c>
      <c r="AK52" s="7">
        <v>3642757</v>
      </c>
      <c r="AL52" s="7">
        <v>-23106</v>
      </c>
      <c r="AM52" s="7">
        <v>-20802</v>
      </c>
      <c r="AN52" s="7">
        <v>-19502</v>
      </c>
      <c r="AO52" s="7">
        <v>37698</v>
      </c>
      <c r="AP52" s="7">
        <v>44538</v>
      </c>
      <c r="AQ52" s="7">
        <v>18894</v>
      </c>
      <c r="AR52" s="7">
        <v>787438</v>
      </c>
      <c r="AS52" s="7">
        <v>-196276</v>
      </c>
      <c r="AT52" s="7">
        <v>-3801</v>
      </c>
      <c r="AU52" s="7">
        <v>-6587</v>
      </c>
      <c r="AV52" s="7">
        <v>-6771</v>
      </c>
      <c r="AW52" s="7">
        <v>-213435</v>
      </c>
      <c r="AX52" s="7">
        <v>7419</v>
      </c>
      <c r="AY52" s="7">
        <v>0</v>
      </c>
      <c r="AZ52" s="7">
        <v>-206418</v>
      </c>
      <c r="BA52" s="7">
        <v>-198999</v>
      </c>
      <c r="BB52" s="7">
        <v>375004</v>
      </c>
      <c r="BC52" s="7">
        <v>1017792</v>
      </c>
      <c r="BD52" s="7">
        <v>1392796</v>
      </c>
      <c r="BE52" s="7">
        <v>30</v>
      </c>
      <c r="BF52" s="7">
        <v>46</v>
      </c>
      <c r="BG52" s="8">
        <v>6.36</v>
      </c>
      <c r="BH52" s="8">
        <v>35</v>
      </c>
      <c r="BI52" s="7">
        <v>15</v>
      </c>
      <c r="BJ52" s="7">
        <v>23</v>
      </c>
      <c r="BK52" s="8">
        <v>6</v>
      </c>
      <c r="BL52" s="6" t="s">
        <v>100</v>
      </c>
      <c r="BM52" s="6" t="s">
        <v>101</v>
      </c>
      <c r="BN52" s="6" t="s">
        <v>144</v>
      </c>
      <c r="BO52" s="6" t="s">
        <v>145</v>
      </c>
      <c r="BP52" s="6" t="s">
        <v>104</v>
      </c>
      <c r="BQ52" s="6" t="s">
        <v>105</v>
      </c>
      <c r="BR52" s="6" t="s">
        <v>115</v>
      </c>
      <c r="BS52" s="7">
        <v>1997</v>
      </c>
      <c r="BT52" s="6" t="s">
        <v>107</v>
      </c>
      <c r="BU52" s="6" t="s">
        <v>108</v>
      </c>
      <c r="BV52" s="6" t="s">
        <v>109</v>
      </c>
      <c r="BW52" s="6" t="s">
        <v>110</v>
      </c>
      <c r="BX52" s="6" t="s">
        <v>111</v>
      </c>
      <c r="BY52" s="7" t="b">
        <f t="shared" si="20"/>
        <v>1</v>
      </c>
      <c r="BZ52" s="7" t="b">
        <f t="shared" si="0"/>
        <v>1</v>
      </c>
      <c r="CA52" s="7" t="b">
        <f t="shared" si="1"/>
        <v>1</v>
      </c>
      <c r="CB52" s="7" t="b">
        <f t="shared" si="2"/>
        <v>1</v>
      </c>
      <c r="CC52" s="9">
        <f t="shared" si="21"/>
        <v>11.3874785440497</v>
      </c>
      <c r="CD52" s="9">
        <f t="shared" si="22"/>
        <v>39.1224854505692</v>
      </c>
      <c r="CE52" s="9">
        <f t="shared" si="23"/>
        <v>24.4816832158354</v>
      </c>
      <c r="CF52" s="9">
        <f t="shared" si="24"/>
        <v>19.7188730220936</v>
      </c>
      <c r="CG52" s="9">
        <f t="shared" si="25"/>
        <v>3.03875970075231</v>
      </c>
      <c r="CH52" s="9">
        <f t="shared" si="26"/>
        <v>2.37151139641937</v>
      </c>
      <c r="CI52" s="9">
        <f t="shared" si="27"/>
        <v>9.87820488712258</v>
      </c>
      <c r="CJ52" s="9">
        <f t="shared" si="28"/>
        <v>0.138258272888716</v>
      </c>
      <c r="CK52" s="9">
        <f t="shared" si="29"/>
        <v>19.1458799788137</v>
      </c>
      <c r="CL52" s="9">
        <f t="shared" si="30"/>
        <v>27.0652223624084</v>
      </c>
      <c r="CM52" s="9">
        <f t="shared" si="31"/>
        <v>1.22072812282965</v>
      </c>
      <c r="CN52" s="10">
        <f t="shared" si="32"/>
        <v>591162</v>
      </c>
      <c r="CO52" s="11">
        <f t="shared" si="33"/>
        <v>32.7109094288382</v>
      </c>
      <c r="CP52" s="11">
        <f t="shared" si="34"/>
        <v>56.0937436447476</v>
      </c>
      <c r="CQ52" s="11">
        <f t="shared" si="35"/>
        <v>58.545328233565</v>
      </c>
      <c r="CR52" s="9">
        <f t="shared" si="36"/>
        <v>35.342453662842</v>
      </c>
      <c r="CS52" s="10">
        <f t="shared" si="37"/>
        <v>1459334</v>
      </c>
    </row>
    <row r="53" spans="1:97">
      <c r="A53" s="6" t="s">
        <v>143</v>
      </c>
      <c r="B53" s="7">
        <v>2024</v>
      </c>
      <c r="C53" s="7">
        <v>3615254</v>
      </c>
      <c r="D53" s="7">
        <v>2164083</v>
      </c>
      <c r="E53" s="7">
        <v>1451171</v>
      </c>
      <c r="F53" s="7">
        <v>248092</v>
      </c>
      <c r="G53" s="7">
        <v>176377</v>
      </c>
      <c r="H53" s="7">
        <v>112800</v>
      </c>
      <c r="I53" s="7">
        <v>913902</v>
      </c>
      <c r="J53" s="7">
        <v>25070</v>
      </c>
      <c r="K53" s="7">
        <v>22261</v>
      </c>
      <c r="L53" s="7">
        <v>5106</v>
      </c>
      <c r="M53" s="7">
        <v>921817</v>
      </c>
      <c r="N53" s="7">
        <v>184363</v>
      </c>
      <c r="O53" s="7">
        <v>737454</v>
      </c>
      <c r="P53" s="7">
        <v>1782187</v>
      </c>
      <c r="Q53" s="7">
        <v>336763</v>
      </c>
      <c r="R53" s="7">
        <v>337953</v>
      </c>
      <c r="S53" s="7">
        <v>166661</v>
      </c>
      <c r="T53" s="7">
        <v>2623564</v>
      </c>
      <c r="U53" s="7">
        <v>1363328</v>
      </c>
      <c r="V53" s="7">
        <v>66433</v>
      </c>
      <c r="W53" s="7">
        <v>80965</v>
      </c>
      <c r="X53" s="7">
        <v>67264</v>
      </c>
      <c r="Y53" s="7">
        <v>4201554</v>
      </c>
      <c r="Z53" s="7">
        <v>126534</v>
      </c>
      <c r="AA53" s="7">
        <v>373527</v>
      </c>
      <c r="AB53" s="7">
        <v>268109</v>
      </c>
      <c r="AC53" s="7">
        <v>768170</v>
      </c>
      <c r="AD53" s="7">
        <v>234991</v>
      </c>
      <c r="AE53" s="7">
        <v>94266</v>
      </c>
      <c r="AF53" s="7">
        <v>1097427</v>
      </c>
      <c r="AG53" s="7">
        <v>864000</v>
      </c>
      <c r="AH53" s="7">
        <v>2156127</v>
      </c>
      <c r="AI53" s="7">
        <v>84000</v>
      </c>
      <c r="AJ53" s="7">
        <v>3104127</v>
      </c>
      <c r="AK53" s="7">
        <v>4201554</v>
      </c>
      <c r="AL53" s="7">
        <v>-32043</v>
      </c>
      <c r="AM53" s="7">
        <v>-21501</v>
      </c>
      <c r="AN53" s="7">
        <v>-5500</v>
      </c>
      <c r="AO53" s="7">
        <v>35251</v>
      </c>
      <c r="AP53" s="7">
        <v>16534</v>
      </c>
      <c r="AQ53" s="7">
        <v>3857</v>
      </c>
      <c r="AR53" s="7">
        <v>846852</v>
      </c>
      <c r="AS53" s="7">
        <v>-209685</v>
      </c>
      <c r="AT53" s="7">
        <v>-6975</v>
      </c>
      <c r="AU53" s="7">
        <v>-2766</v>
      </c>
      <c r="AV53" s="7">
        <v>-3736</v>
      </c>
      <c r="AW53" s="7">
        <v>-223162</v>
      </c>
      <c r="AX53" s="7">
        <v>1686</v>
      </c>
      <c r="AY53" s="7">
        <v>0</v>
      </c>
      <c r="AZ53" s="7">
        <v>-235985</v>
      </c>
      <c r="BA53" s="7">
        <v>-234299</v>
      </c>
      <c r="BB53" s="7">
        <v>389391</v>
      </c>
      <c r="BC53" s="7">
        <v>1392796</v>
      </c>
      <c r="BD53" s="7">
        <v>1782187</v>
      </c>
      <c r="BE53" s="7">
        <v>30</v>
      </c>
      <c r="BF53" s="7">
        <v>49</v>
      </c>
      <c r="BG53" s="8">
        <v>6.17</v>
      </c>
      <c r="BH53" s="8">
        <v>35</v>
      </c>
      <c r="BI53" s="7">
        <v>11</v>
      </c>
      <c r="BJ53" s="7">
        <v>16</v>
      </c>
      <c r="BK53" s="8">
        <v>5.8</v>
      </c>
      <c r="BL53" s="6" t="s">
        <v>100</v>
      </c>
      <c r="BM53" s="6" t="s">
        <v>101</v>
      </c>
      <c r="BN53" s="6" t="s">
        <v>144</v>
      </c>
      <c r="BO53" s="6" t="s">
        <v>145</v>
      </c>
      <c r="BP53" s="6" t="s">
        <v>104</v>
      </c>
      <c r="BQ53" s="6" t="s">
        <v>105</v>
      </c>
      <c r="BR53" s="6" t="s">
        <v>115</v>
      </c>
      <c r="BS53" s="7">
        <v>1997</v>
      </c>
      <c r="BT53" s="6" t="s">
        <v>107</v>
      </c>
      <c r="BU53" s="6" t="s">
        <v>108</v>
      </c>
      <c r="BV53" s="6" t="s">
        <v>109</v>
      </c>
      <c r="BW53" s="6" t="s">
        <v>110</v>
      </c>
      <c r="BX53" s="6" t="s">
        <v>111</v>
      </c>
      <c r="BY53" s="7" t="b">
        <f t="shared" si="20"/>
        <v>1</v>
      </c>
      <c r="BZ53" s="7" t="b">
        <f t="shared" si="0"/>
        <v>1</v>
      </c>
      <c r="CA53" s="7" t="b">
        <f t="shared" si="1"/>
        <v>1</v>
      </c>
      <c r="CB53" s="7" t="b">
        <f t="shared" si="2"/>
        <v>1</v>
      </c>
      <c r="CC53" s="9">
        <f t="shared" si="21"/>
        <v>10.5155747231497</v>
      </c>
      <c r="CD53" s="9">
        <f t="shared" si="22"/>
        <v>40.1402225127197</v>
      </c>
      <c r="CE53" s="9">
        <f t="shared" si="23"/>
        <v>25.2790536985783</v>
      </c>
      <c r="CF53" s="9">
        <f t="shared" si="24"/>
        <v>20.3984007762663</v>
      </c>
      <c r="CG53" s="9">
        <f t="shared" si="25"/>
        <v>3.415342957939</v>
      </c>
      <c r="CH53" s="9">
        <f t="shared" si="26"/>
        <v>2.75843888722548</v>
      </c>
      <c r="CI53" s="9">
        <f t="shared" si="27"/>
        <v>8.60455441010636</v>
      </c>
      <c r="CJ53" s="9">
        <f t="shared" si="28"/>
        <v>0.116465917792668</v>
      </c>
      <c r="CK53" s="9">
        <f t="shared" si="29"/>
        <v>18.8022631943073</v>
      </c>
      <c r="CL53" s="9">
        <f t="shared" si="30"/>
        <v>25.8448145496983</v>
      </c>
      <c r="CM53" s="9">
        <f t="shared" si="31"/>
        <v>1.1483455239242</v>
      </c>
      <c r="CN53" s="10">
        <f t="shared" si="32"/>
        <v>637167</v>
      </c>
      <c r="CO53" s="11">
        <f t="shared" si="33"/>
        <v>32.3824128263187</v>
      </c>
      <c r="CP53" s="11">
        <f t="shared" si="34"/>
        <v>55.186844728229</v>
      </c>
      <c r="CQ53" s="11">
        <f t="shared" si="35"/>
        <v>60.0272944706834</v>
      </c>
      <c r="CR53" s="9">
        <f t="shared" si="36"/>
        <v>41.0539508557567</v>
      </c>
      <c r="CS53" s="10">
        <f t="shared" si="37"/>
        <v>1855394</v>
      </c>
    </row>
    <row r="54" spans="1:97">
      <c r="A54" s="6" t="s">
        <v>143</v>
      </c>
      <c r="B54" s="7">
        <v>2025</v>
      </c>
      <c r="C54" s="7">
        <v>3921950</v>
      </c>
      <c r="D54" s="7">
        <v>2346370</v>
      </c>
      <c r="E54" s="7">
        <v>1575580</v>
      </c>
      <c r="F54" s="7">
        <v>266541</v>
      </c>
      <c r="G54" s="7">
        <v>188890</v>
      </c>
      <c r="H54" s="7">
        <v>119014</v>
      </c>
      <c r="I54" s="7">
        <v>1001135</v>
      </c>
      <c r="J54" s="7">
        <v>32079</v>
      </c>
      <c r="K54" s="7">
        <v>22608</v>
      </c>
      <c r="L54" s="7">
        <v>2700</v>
      </c>
      <c r="M54" s="7">
        <v>1013306</v>
      </c>
      <c r="N54" s="7">
        <v>202661</v>
      </c>
      <c r="O54" s="7">
        <v>810645</v>
      </c>
      <c r="P54" s="7">
        <v>2227074</v>
      </c>
      <c r="Q54" s="7">
        <v>354587</v>
      </c>
      <c r="R54" s="7">
        <v>359991</v>
      </c>
      <c r="S54" s="7">
        <v>180463</v>
      </c>
      <c r="T54" s="7">
        <v>3122115</v>
      </c>
      <c r="U54" s="7">
        <v>1460021</v>
      </c>
      <c r="V54" s="7">
        <v>68993</v>
      </c>
      <c r="W54" s="7">
        <v>95897</v>
      </c>
      <c r="X54" s="7">
        <v>67066</v>
      </c>
      <c r="Y54" s="7">
        <v>4814092</v>
      </c>
      <c r="Z54" s="7">
        <v>123542</v>
      </c>
      <c r="AA54" s="7">
        <v>411418</v>
      </c>
      <c r="AB54" s="7">
        <v>289143</v>
      </c>
      <c r="AC54" s="7">
        <v>824103</v>
      </c>
      <c r="AD54" s="7">
        <v>229434</v>
      </c>
      <c r="AE54" s="7">
        <v>105189</v>
      </c>
      <c r="AF54" s="7">
        <v>1158726</v>
      </c>
      <c r="AG54" s="7">
        <v>864000</v>
      </c>
      <c r="AH54" s="7">
        <v>2707366</v>
      </c>
      <c r="AI54" s="7">
        <v>84000</v>
      </c>
      <c r="AJ54" s="7">
        <v>3655366</v>
      </c>
      <c r="AK54" s="7">
        <v>4814092</v>
      </c>
      <c r="AL54" s="7">
        <v>-17824</v>
      </c>
      <c r="AM54" s="7">
        <v>-22038</v>
      </c>
      <c r="AN54" s="7">
        <v>-13802</v>
      </c>
      <c r="AO54" s="7">
        <v>37891</v>
      </c>
      <c r="AP54" s="7">
        <v>21034</v>
      </c>
      <c r="AQ54" s="7">
        <v>10923</v>
      </c>
      <c r="AR54" s="7">
        <v>945843</v>
      </c>
      <c r="AS54" s="7">
        <v>-215707</v>
      </c>
      <c r="AT54" s="7">
        <v>-2560</v>
      </c>
      <c r="AU54" s="7">
        <v>-14932</v>
      </c>
      <c r="AV54" s="7">
        <v>198</v>
      </c>
      <c r="AW54" s="7">
        <v>-233001</v>
      </c>
      <c r="AX54" s="7">
        <v>-8549</v>
      </c>
      <c r="AY54" s="7">
        <v>0</v>
      </c>
      <c r="AZ54" s="7">
        <v>-259406</v>
      </c>
      <c r="BA54" s="7">
        <v>-267955</v>
      </c>
      <c r="BB54" s="7">
        <v>444887</v>
      </c>
      <c r="BC54" s="7">
        <v>1782187</v>
      </c>
      <c r="BD54" s="7">
        <v>2227074</v>
      </c>
      <c r="BE54" s="7">
        <v>30</v>
      </c>
      <c r="BF54" s="7">
        <v>49</v>
      </c>
      <c r="BG54" s="8">
        <v>6.33</v>
      </c>
      <c r="BH54" s="8">
        <v>35</v>
      </c>
      <c r="BI54" s="7">
        <v>14</v>
      </c>
      <c r="BJ54" s="7">
        <v>29</v>
      </c>
      <c r="BK54" s="8">
        <v>5.5</v>
      </c>
      <c r="BL54" s="6" t="s">
        <v>100</v>
      </c>
      <c r="BM54" s="6" t="s">
        <v>101</v>
      </c>
      <c r="BN54" s="6" t="s">
        <v>144</v>
      </c>
      <c r="BO54" s="6" t="s">
        <v>145</v>
      </c>
      <c r="BP54" s="6" t="s">
        <v>104</v>
      </c>
      <c r="BQ54" s="6" t="s">
        <v>105</v>
      </c>
      <c r="BR54" s="6" t="s">
        <v>115</v>
      </c>
      <c r="BS54" s="7">
        <v>1997</v>
      </c>
      <c r="BT54" s="6" t="s">
        <v>107</v>
      </c>
      <c r="BU54" s="6" t="s">
        <v>108</v>
      </c>
      <c r="BV54" s="6" t="s">
        <v>109</v>
      </c>
      <c r="BW54" s="6" t="s">
        <v>110</v>
      </c>
      <c r="BX54" s="6" t="s">
        <v>111</v>
      </c>
      <c r="BY54" s="7" t="b">
        <f t="shared" si="20"/>
        <v>1</v>
      </c>
      <c r="BZ54" s="7" t="b">
        <f t="shared" si="0"/>
        <v>1</v>
      </c>
      <c r="CA54" s="7" t="b">
        <f t="shared" si="1"/>
        <v>1</v>
      </c>
      <c r="CB54" s="7" t="b">
        <f t="shared" si="2"/>
        <v>1</v>
      </c>
      <c r="CC54" s="9">
        <f t="shared" si="21"/>
        <v>8.48338733599354</v>
      </c>
      <c r="CD54" s="9">
        <f t="shared" si="22"/>
        <v>40.1733831384898</v>
      </c>
      <c r="CE54" s="9">
        <f t="shared" si="23"/>
        <v>25.52646005176</v>
      </c>
      <c r="CF54" s="9">
        <f t="shared" si="24"/>
        <v>20.6694373972131</v>
      </c>
      <c r="CG54" s="9">
        <f t="shared" si="25"/>
        <v>3.78850095194411</v>
      </c>
      <c r="CH54" s="9">
        <f t="shared" si="26"/>
        <v>3.13269215134516</v>
      </c>
      <c r="CI54" s="9">
        <f t="shared" si="27"/>
        <v>7.33214072352585</v>
      </c>
      <c r="CJ54" s="9">
        <f t="shared" si="28"/>
        <v>0.0965637914233486</v>
      </c>
      <c r="CK54" s="9">
        <f t="shared" si="29"/>
        <v>17.9830707638698</v>
      </c>
      <c r="CL54" s="9">
        <f t="shared" si="30"/>
        <v>23.9853787850657</v>
      </c>
      <c r="CM54" s="9">
        <f t="shared" si="31"/>
        <v>1.16677830616361</v>
      </c>
      <c r="CN54" s="10">
        <f t="shared" si="32"/>
        <v>730136</v>
      </c>
      <c r="CO54" s="11">
        <f t="shared" si="33"/>
        <v>32.1705720368694</v>
      </c>
      <c r="CP54" s="11">
        <f t="shared" si="34"/>
        <v>54.2858884148706</v>
      </c>
      <c r="CQ54" s="11">
        <f t="shared" si="35"/>
        <v>61.0528017746562</v>
      </c>
      <c r="CR54" s="9">
        <f t="shared" si="36"/>
        <v>44.2823336871904</v>
      </c>
      <c r="CS54" s="10">
        <f t="shared" si="37"/>
        <v>2298012</v>
      </c>
    </row>
    <row r="55" spans="1:97">
      <c r="A55" s="6" t="s">
        <v>146</v>
      </c>
      <c r="B55" s="7">
        <v>2021</v>
      </c>
      <c r="C55" s="7">
        <v>883444</v>
      </c>
      <c r="D55" s="7">
        <v>636782</v>
      </c>
      <c r="E55" s="7">
        <v>246662</v>
      </c>
      <c r="F55" s="7">
        <v>71541</v>
      </c>
      <c r="G55" s="7">
        <v>55584</v>
      </c>
      <c r="H55" s="7">
        <v>24876</v>
      </c>
      <c r="I55" s="7">
        <v>94661</v>
      </c>
      <c r="J55" s="7">
        <v>3184</v>
      </c>
      <c r="K55" s="7">
        <v>16993</v>
      </c>
      <c r="L55" s="7">
        <v>-223</v>
      </c>
      <c r="M55" s="7">
        <v>80629</v>
      </c>
      <c r="N55" s="7">
        <v>16126</v>
      </c>
      <c r="O55" s="7">
        <v>64503</v>
      </c>
      <c r="P55" s="7">
        <v>214128</v>
      </c>
      <c r="Q55" s="7">
        <v>145224</v>
      </c>
      <c r="R55" s="7">
        <v>174461</v>
      </c>
      <c r="S55" s="7">
        <v>43417</v>
      </c>
      <c r="T55" s="7">
        <v>577230</v>
      </c>
      <c r="U55" s="7">
        <v>337879</v>
      </c>
      <c r="V55" s="7">
        <v>15679</v>
      </c>
      <c r="W55" s="7">
        <v>22576</v>
      </c>
      <c r="X55" s="7">
        <v>14716</v>
      </c>
      <c r="Y55" s="7">
        <v>968080</v>
      </c>
      <c r="Z55" s="7">
        <v>80393</v>
      </c>
      <c r="AA55" s="7">
        <v>87230</v>
      </c>
      <c r="AB55" s="7">
        <v>67088</v>
      </c>
      <c r="AC55" s="7">
        <v>234711</v>
      </c>
      <c r="AD55" s="7">
        <v>149302</v>
      </c>
      <c r="AE55" s="7">
        <v>21440</v>
      </c>
      <c r="AF55" s="7">
        <v>405453</v>
      </c>
      <c r="AG55" s="7">
        <v>306000</v>
      </c>
      <c r="AH55" s="7">
        <v>226877</v>
      </c>
      <c r="AI55" s="7">
        <v>29750</v>
      </c>
      <c r="AJ55" s="7">
        <v>562627</v>
      </c>
      <c r="AK55" s="7">
        <v>968080</v>
      </c>
      <c r="AL55" s="7">
        <v>-12484</v>
      </c>
      <c r="AM55" s="7">
        <v>-15173</v>
      </c>
      <c r="AN55" s="7">
        <v>-917</v>
      </c>
      <c r="AO55" s="7">
        <v>6748</v>
      </c>
      <c r="AP55" s="7">
        <v>3338</v>
      </c>
      <c r="AQ55" s="7">
        <v>-2360</v>
      </c>
      <c r="AR55" s="7">
        <v>68531</v>
      </c>
      <c r="AS55" s="7">
        <v>-39755</v>
      </c>
      <c r="AT55" s="7">
        <v>-379</v>
      </c>
      <c r="AU55" s="7">
        <v>-1326</v>
      </c>
      <c r="AV55" s="7">
        <v>584</v>
      </c>
      <c r="AW55" s="7">
        <v>-40876</v>
      </c>
      <c r="AX55" s="7">
        <v>25695</v>
      </c>
      <c r="AY55" s="7">
        <v>0</v>
      </c>
      <c r="AZ55" s="7">
        <v>-16126</v>
      </c>
      <c r="BA55" s="7">
        <v>9569</v>
      </c>
      <c r="BB55" s="7">
        <v>37224</v>
      </c>
      <c r="BC55" s="7">
        <v>176904</v>
      </c>
      <c r="BD55" s="7">
        <v>214128</v>
      </c>
      <c r="BE55" s="7">
        <v>51</v>
      </c>
      <c r="BF55" s="7">
        <v>92</v>
      </c>
      <c r="BG55" s="8">
        <v>7.84</v>
      </c>
      <c r="BH55" s="8">
        <v>35</v>
      </c>
      <c r="BI55" s="7">
        <v>13</v>
      </c>
      <c r="BJ55" s="7">
        <v>16</v>
      </c>
      <c r="BK55" s="8">
        <v>4.5</v>
      </c>
      <c r="BL55" s="6" t="s">
        <v>100</v>
      </c>
      <c r="BM55" s="6" t="s">
        <v>101</v>
      </c>
      <c r="BN55" s="6" t="s">
        <v>147</v>
      </c>
      <c r="BO55" s="6" t="s">
        <v>148</v>
      </c>
      <c r="BP55" s="6" t="s">
        <v>104</v>
      </c>
      <c r="BQ55" s="6" t="s">
        <v>105</v>
      </c>
      <c r="BR55" s="6" t="s">
        <v>149</v>
      </c>
      <c r="BS55" s="7">
        <v>1999</v>
      </c>
      <c r="BT55" s="6" t="s">
        <v>107</v>
      </c>
      <c r="BU55" s="6" t="s">
        <v>108</v>
      </c>
      <c r="BV55" s="6" t="s">
        <v>109</v>
      </c>
      <c r="BW55" s="6" t="s">
        <v>110</v>
      </c>
      <c r="BX55" s="6" t="s">
        <v>120</v>
      </c>
      <c r="BY55" s="7" t="b">
        <f t="shared" si="20"/>
        <v>1</v>
      </c>
      <c r="BZ55" s="7" t="b">
        <f t="shared" si="0"/>
        <v>1</v>
      </c>
      <c r="CA55" s="7" t="b">
        <f t="shared" si="1"/>
        <v>1</v>
      </c>
      <c r="CB55" s="7" t="b">
        <f t="shared" si="2"/>
        <v>1</v>
      </c>
      <c r="CC55" s="9" t="str">
        <f t="shared" si="21"/>
        <v/>
      </c>
      <c r="CD55" s="9">
        <f t="shared" si="22"/>
        <v>27.9205020352167</v>
      </c>
      <c r="CE55" s="9">
        <f t="shared" si="23"/>
        <v>10.7149972154432</v>
      </c>
      <c r="CF55" s="9">
        <f t="shared" si="24"/>
        <v>7.30131168472478</v>
      </c>
      <c r="CG55" s="9">
        <f t="shared" si="25"/>
        <v>2.45932231552846</v>
      </c>
      <c r="CH55" s="9">
        <f t="shared" si="26"/>
        <v>1.53104030062502</v>
      </c>
      <c r="CI55" s="9">
        <f t="shared" si="27"/>
        <v>23.7268614164119</v>
      </c>
      <c r="CJ55" s="9">
        <f t="shared" si="28"/>
        <v>0.408254491874723</v>
      </c>
      <c r="CK55" s="9" t="str">
        <f t="shared" si="29"/>
        <v/>
      </c>
      <c r="CL55" s="9" t="str">
        <f t="shared" si="30"/>
        <v/>
      </c>
      <c r="CM55" s="9">
        <f t="shared" si="31"/>
        <v>1.06244670790506</v>
      </c>
      <c r="CN55" s="10">
        <f t="shared" si="32"/>
        <v>28776</v>
      </c>
      <c r="CO55" s="11" t="str">
        <f t="shared" si="33"/>
        <v/>
      </c>
      <c r="CP55" s="11" t="str">
        <f t="shared" si="34"/>
        <v/>
      </c>
      <c r="CQ55" s="11" t="str">
        <f t="shared" si="35"/>
        <v/>
      </c>
      <c r="CR55" s="9">
        <f t="shared" si="36"/>
        <v>5.57058788913082</v>
      </c>
      <c r="CS55" s="10">
        <f t="shared" si="37"/>
        <v>342519</v>
      </c>
    </row>
    <row r="56" spans="1:97">
      <c r="A56" s="6" t="s">
        <v>146</v>
      </c>
      <c r="B56" s="7">
        <v>2022</v>
      </c>
      <c r="C56" s="7">
        <v>926122</v>
      </c>
      <c r="D56" s="7">
        <v>657223</v>
      </c>
      <c r="E56" s="7">
        <v>268899</v>
      </c>
      <c r="F56" s="7">
        <v>73613</v>
      </c>
      <c r="G56" s="7">
        <v>56273</v>
      </c>
      <c r="H56" s="7">
        <v>26007</v>
      </c>
      <c r="I56" s="7">
        <v>113006</v>
      </c>
      <c r="J56" s="7">
        <v>3854</v>
      </c>
      <c r="K56" s="7">
        <v>17508</v>
      </c>
      <c r="L56" s="7">
        <v>841</v>
      </c>
      <c r="M56" s="7">
        <v>100193</v>
      </c>
      <c r="N56" s="7">
        <v>20039</v>
      </c>
      <c r="O56" s="7">
        <v>80154</v>
      </c>
      <c r="P56" s="7">
        <v>262440</v>
      </c>
      <c r="Q56" s="7">
        <v>147165</v>
      </c>
      <c r="R56" s="7">
        <v>171058</v>
      </c>
      <c r="S56" s="7">
        <v>44042</v>
      </c>
      <c r="T56" s="7">
        <v>624705</v>
      </c>
      <c r="U56" s="7">
        <v>355400</v>
      </c>
      <c r="V56" s="7">
        <v>16060</v>
      </c>
      <c r="W56" s="7">
        <v>20662</v>
      </c>
      <c r="X56" s="7">
        <v>16928</v>
      </c>
      <c r="Y56" s="7">
        <v>1033755</v>
      </c>
      <c r="Z56" s="7">
        <v>77794</v>
      </c>
      <c r="AA56" s="7">
        <v>93632</v>
      </c>
      <c r="AB56" s="7">
        <v>69487</v>
      </c>
      <c r="AC56" s="7">
        <v>240913</v>
      </c>
      <c r="AD56" s="7">
        <v>144475</v>
      </c>
      <c r="AE56" s="7">
        <v>25624</v>
      </c>
      <c r="AF56" s="7">
        <v>411012</v>
      </c>
      <c r="AG56" s="7">
        <v>306000</v>
      </c>
      <c r="AH56" s="7">
        <v>286993</v>
      </c>
      <c r="AI56" s="7">
        <v>29750</v>
      </c>
      <c r="AJ56" s="7">
        <v>622743</v>
      </c>
      <c r="AK56" s="7">
        <v>1033755</v>
      </c>
      <c r="AL56" s="7">
        <v>-1941</v>
      </c>
      <c r="AM56" s="7">
        <v>3403</v>
      </c>
      <c r="AN56" s="7">
        <v>-625</v>
      </c>
      <c r="AO56" s="7">
        <v>6402</v>
      </c>
      <c r="AP56" s="7">
        <v>2399</v>
      </c>
      <c r="AQ56" s="7">
        <v>4184</v>
      </c>
      <c r="AR56" s="7">
        <v>119983</v>
      </c>
      <c r="AS56" s="7">
        <v>-43528</v>
      </c>
      <c r="AT56" s="7">
        <v>-381</v>
      </c>
      <c r="AU56" s="7">
        <v>1914</v>
      </c>
      <c r="AV56" s="7">
        <v>-2212</v>
      </c>
      <c r="AW56" s="7">
        <v>-44207</v>
      </c>
      <c r="AX56" s="7">
        <v>-7426</v>
      </c>
      <c r="AY56" s="7">
        <v>0</v>
      </c>
      <c r="AZ56" s="7">
        <v>-20038</v>
      </c>
      <c r="BA56" s="7">
        <v>-27464</v>
      </c>
      <c r="BB56" s="7">
        <v>48312</v>
      </c>
      <c r="BC56" s="7">
        <v>214128</v>
      </c>
      <c r="BD56" s="7">
        <v>262440</v>
      </c>
      <c r="BE56" s="7">
        <v>48</v>
      </c>
      <c r="BF56" s="7">
        <v>84</v>
      </c>
      <c r="BG56" s="8">
        <v>7.75</v>
      </c>
      <c r="BH56" s="8">
        <v>35</v>
      </c>
      <c r="BI56" s="7">
        <v>12</v>
      </c>
      <c r="BJ56" s="7">
        <v>8</v>
      </c>
      <c r="BK56" s="8">
        <v>4.7</v>
      </c>
      <c r="BL56" s="6" t="s">
        <v>100</v>
      </c>
      <c r="BM56" s="6" t="s">
        <v>101</v>
      </c>
      <c r="BN56" s="6" t="s">
        <v>147</v>
      </c>
      <c r="BO56" s="6" t="s">
        <v>148</v>
      </c>
      <c r="BP56" s="6" t="s">
        <v>104</v>
      </c>
      <c r="BQ56" s="6" t="s">
        <v>105</v>
      </c>
      <c r="BR56" s="6" t="s">
        <v>149</v>
      </c>
      <c r="BS56" s="7">
        <v>1999</v>
      </c>
      <c r="BT56" s="6" t="s">
        <v>107</v>
      </c>
      <c r="BU56" s="6" t="s">
        <v>108</v>
      </c>
      <c r="BV56" s="6" t="s">
        <v>109</v>
      </c>
      <c r="BW56" s="6" t="s">
        <v>110</v>
      </c>
      <c r="BX56" s="6" t="s">
        <v>120</v>
      </c>
      <c r="BY56" s="7" t="b">
        <f t="shared" si="20"/>
        <v>1</v>
      </c>
      <c r="BZ56" s="7" t="b">
        <f t="shared" si="0"/>
        <v>1</v>
      </c>
      <c r="CA56" s="7" t="b">
        <f t="shared" si="1"/>
        <v>1</v>
      </c>
      <c r="CB56" s="7" t="b">
        <f t="shared" si="2"/>
        <v>1</v>
      </c>
      <c r="CC56" s="9">
        <f t="shared" si="21"/>
        <v>4.83086647257778</v>
      </c>
      <c r="CD56" s="9">
        <f t="shared" si="22"/>
        <v>29.0349435603517</v>
      </c>
      <c r="CE56" s="9">
        <f t="shared" si="23"/>
        <v>12.2020640909081</v>
      </c>
      <c r="CF56" s="9">
        <f t="shared" si="24"/>
        <v>8.65479925970877</v>
      </c>
      <c r="CG56" s="9">
        <f t="shared" si="25"/>
        <v>2.59307301806046</v>
      </c>
      <c r="CH56" s="9">
        <f t="shared" si="26"/>
        <v>1.70021958134264</v>
      </c>
      <c r="CI56" s="9">
        <f t="shared" si="27"/>
        <v>21.5011293778506</v>
      </c>
      <c r="CJ56" s="9">
        <f t="shared" si="28"/>
        <v>0.356919307001444</v>
      </c>
      <c r="CK56" s="9">
        <f t="shared" si="29"/>
        <v>8.00805261172874</v>
      </c>
      <c r="CL56" s="9">
        <f t="shared" si="30"/>
        <v>13.5238786201777</v>
      </c>
      <c r="CM56" s="9">
        <f t="shared" si="31"/>
        <v>1.49690595603463</v>
      </c>
      <c r="CN56" s="10">
        <f t="shared" si="32"/>
        <v>76455</v>
      </c>
      <c r="CO56" s="11">
        <f t="shared" si="33"/>
        <v>57.6176707820352</v>
      </c>
      <c r="CP56" s="11">
        <f t="shared" si="34"/>
        <v>95.9449342156315</v>
      </c>
      <c r="CQ56" s="11">
        <f t="shared" si="35"/>
        <v>50.2223978771285</v>
      </c>
      <c r="CR56" s="9">
        <f t="shared" si="36"/>
        <v>6.45453506968243</v>
      </c>
      <c r="CS56" s="10">
        <f t="shared" si="37"/>
        <v>383792</v>
      </c>
    </row>
    <row r="57" spans="1:97">
      <c r="A57" s="6" t="s">
        <v>146</v>
      </c>
      <c r="B57" s="7">
        <v>2023</v>
      </c>
      <c r="C57" s="7">
        <v>981280</v>
      </c>
      <c r="D57" s="7">
        <v>677921</v>
      </c>
      <c r="E57" s="7">
        <v>303359</v>
      </c>
      <c r="F57" s="7">
        <v>77774</v>
      </c>
      <c r="G57" s="7">
        <v>58365</v>
      </c>
      <c r="H57" s="7">
        <v>27289</v>
      </c>
      <c r="I57" s="7">
        <v>139931</v>
      </c>
      <c r="J57" s="7">
        <v>4724</v>
      </c>
      <c r="K57" s="7">
        <v>15938</v>
      </c>
      <c r="L57" s="7">
        <v>2353</v>
      </c>
      <c r="M57" s="7">
        <v>131070</v>
      </c>
      <c r="N57" s="7">
        <v>26214</v>
      </c>
      <c r="O57" s="7">
        <v>104856</v>
      </c>
      <c r="P57" s="7">
        <v>335218</v>
      </c>
      <c r="Q57" s="7">
        <v>145176</v>
      </c>
      <c r="R57" s="7">
        <v>157872</v>
      </c>
      <c r="S57" s="7">
        <v>45116</v>
      </c>
      <c r="T57" s="7">
        <v>683382</v>
      </c>
      <c r="U57" s="7">
        <v>377175</v>
      </c>
      <c r="V57" s="7">
        <v>18165</v>
      </c>
      <c r="W57" s="7">
        <v>22681</v>
      </c>
      <c r="X57" s="7">
        <v>17105</v>
      </c>
      <c r="Y57" s="7">
        <v>1118508</v>
      </c>
      <c r="Z57" s="7">
        <v>75559</v>
      </c>
      <c r="AA57" s="7">
        <v>102152</v>
      </c>
      <c r="AB57" s="7">
        <v>75452</v>
      </c>
      <c r="AC57" s="7">
        <v>253163</v>
      </c>
      <c r="AD57" s="7">
        <v>140323</v>
      </c>
      <c r="AE57" s="7">
        <v>23637</v>
      </c>
      <c r="AF57" s="7">
        <v>417123</v>
      </c>
      <c r="AG57" s="7">
        <v>306000</v>
      </c>
      <c r="AH57" s="7">
        <v>365635</v>
      </c>
      <c r="AI57" s="7">
        <v>29750</v>
      </c>
      <c r="AJ57" s="7">
        <v>701385</v>
      </c>
      <c r="AK57" s="7">
        <v>1118508</v>
      </c>
      <c r="AL57" s="7">
        <v>1989</v>
      </c>
      <c r="AM57" s="7">
        <v>13186</v>
      </c>
      <c r="AN57" s="7">
        <v>-1074</v>
      </c>
      <c r="AO57" s="7">
        <v>8520</v>
      </c>
      <c r="AP57" s="7">
        <v>5965</v>
      </c>
      <c r="AQ57" s="7">
        <v>-1987</v>
      </c>
      <c r="AR57" s="7">
        <v>158744</v>
      </c>
      <c r="AS57" s="7">
        <v>-49064</v>
      </c>
      <c r="AT57" s="7">
        <v>-2105</v>
      </c>
      <c r="AU57" s="7">
        <v>-2019</v>
      </c>
      <c r="AV57" s="7">
        <v>-177</v>
      </c>
      <c r="AW57" s="7">
        <v>-53365</v>
      </c>
      <c r="AX57" s="7">
        <v>-6387</v>
      </c>
      <c r="AY57" s="7">
        <v>0</v>
      </c>
      <c r="AZ57" s="7">
        <v>-26214</v>
      </c>
      <c r="BA57" s="7">
        <v>-32601</v>
      </c>
      <c r="BB57" s="7">
        <v>72778</v>
      </c>
      <c r="BC57" s="7">
        <v>262440</v>
      </c>
      <c r="BD57" s="7">
        <v>335218</v>
      </c>
      <c r="BE57" s="7">
        <v>47</v>
      </c>
      <c r="BF57" s="7">
        <v>79</v>
      </c>
      <c r="BG57" s="8">
        <v>7.28</v>
      </c>
      <c r="BH57" s="8">
        <v>35</v>
      </c>
      <c r="BI57" s="7">
        <v>23</v>
      </c>
      <c r="BJ57" s="7">
        <v>6</v>
      </c>
      <c r="BK57" s="8">
        <v>5</v>
      </c>
      <c r="BL57" s="6" t="s">
        <v>100</v>
      </c>
      <c r="BM57" s="6" t="s">
        <v>101</v>
      </c>
      <c r="BN57" s="6" t="s">
        <v>147</v>
      </c>
      <c r="BO57" s="6" t="s">
        <v>148</v>
      </c>
      <c r="BP57" s="6" t="s">
        <v>104</v>
      </c>
      <c r="BQ57" s="6" t="s">
        <v>105</v>
      </c>
      <c r="BR57" s="6" t="s">
        <v>149</v>
      </c>
      <c r="BS57" s="7">
        <v>1999</v>
      </c>
      <c r="BT57" s="6" t="s">
        <v>107</v>
      </c>
      <c r="BU57" s="6" t="s">
        <v>108</v>
      </c>
      <c r="BV57" s="6" t="s">
        <v>109</v>
      </c>
      <c r="BW57" s="6" t="s">
        <v>110</v>
      </c>
      <c r="BX57" s="6" t="s">
        <v>120</v>
      </c>
      <c r="BY57" s="7" t="b">
        <f t="shared" si="20"/>
        <v>1</v>
      </c>
      <c r="BZ57" s="7" t="b">
        <f t="shared" si="0"/>
        <v>1</v>
      </c>
      <c r="CA57" s="7" t="b">
        <f t="shared" si="1"/>
        <v>1</v>
      </c>
      <c r="CB57" s="7" t="b">
        <f t="shared" si="2"/>
        <v>1</v>
      </c>
      <c r="CC57" s="9">
        <f t="shared" si="21"/>
        <v>5.95580279919924</v>
      </c>
      <c r="CD57" s="9">
        <f t="shared" si="22"/>
        <v>30.9146217185717</v>
      </c>
      <c r="CE57" s="9">
        <f t="shared" si="23"/>
        <v>14.2600481004402</v>
      </c>
      <c r="CF57" s="9">
        <f t="shared" si="24"/>
        <v>10.6856350888635</v>
      </c>
      <c r="CG57" s="9">
        <f t="shared" si="25"/>
        <v>2.69937550115933</v>
      </c>
      <c r="CH57" s="9">
        <f t="shared" si="26"/>
        <v>1.89756797004302</v>
      </c>
      <c r="CI57" s="9">
        <f t="shared" si="27"/>
        <v>19.3008901143309</v>
      </c>
      <c r="CJ57" s="9">
        <f t="shared" si="28"/>
        <v>0.307793864995687</v>
      </c>
      <c r="CK57" s="9">
        <f t="shared" si="29"/>
        <v>9.74379060551615</v>
      </c>
      <c r="CL57" s="9">
        <f t="shared" si="30"/>
        <v>15.8377437830784</v>
      </c>
      <c r="CM57" s="9">
        <f t="shared" si="31"/>
        <v>1.51392385748074</v>
      </c>
      <c r="CN57" s="10">
        <f t="shared" si="32"/>
        <v>109680</v>
      </c>
      <c r="CO57" s="11">
        <f t="shared" si="33"/>
        <v>54.3700396421001</v>
      </c>
      <c r="CP57" s="11">
        <f t="shared" si="34"/>
        <v>88.5497351461306</v>
      </c>
      <c r="CQ57" s="11">
        <f t="shared" si="35"/>
        <v>52.7061117740858</v>
      </c>
      <c r="CR57" s="9">
        <f t="shared" si="36"/>
        <v>8.77970887187853</v>
      </c>
      <c r="CS57" s="10">
        <f t="shared" si="37"/>
        <v>430219</v>
      </c>
    </row>
    <row r="58" spans="1:97">
      <c r="A58" s="6" t="s">
        <v>146</v>
      </c>
      <c r="B58" s="7">
        <v>2024</v>
      </c>
      <c r="C58" s="7">
        <v>1046523</v>
      </c>
      <c r="D58" s="7">
        <v>699190</v>
      </c>
      <c r="E58" s="7">
        <v>347333</v>
      </c>
      <c r="F58" s="7">
        <v>77326</v>
      </c>
      <c r="G58" s="7">
        <v>60489</v>
      </c>
      <c r="H58" s="7">
        <v>30121</v>
      </c>
      <c r="I58" s="7">
        <v>179397</v>
      </c>
      <c r="J58" s="7">
        <v>6034</v>
      </c>
      <c r="K58" s="7">
        <v>14908</v>
      </c>
      <c r="L58" s="7">
        <v>2699</v>
      </c>
      <c r="M58" s="7">
        <v>173222</v>
      </c>
      <c r="N58" s="7">
        <v>34644</v>
      </c>
      <c r="O58" s="7">
        <v>138578</v>
      </c>
      <c r="P58" s="7">
        <v>421922</v>
      </c>
      <c r="Q58" s="7">
        <v>143359</v>
      </c>
      <c r="R58" s="7">
        <v>149416</v>
      </c>
      <c r="S58" s="7">
        <v>48152</v>
      </c>
      <c r="T58" s="7">
        <v>762849</v>
      </c>
      <c r="U58" s="7">
        <v>401473</v>
      </c>
      <c r="V58" s="7">
        <v>19317</v>
      </c>
      <c r="W58" s="7">
        <v>26924</v>
      </c>
      <c r="X58" s="7">
        <v>19799</v>
      </c>
      <c r="Y58" s="7">
        <v>1230362</v>
      </c>
      <c r="Z58" s="7">
        <v>73257</v>
      </c>
      <c r="AA58" s="7">
        <v>111104</v>
      </c>
      <c r="AB58" s="7">
        <v>78806</v>
      </c>
      <c r="AC58" s="7">
        <v>263167</v>
      </c>
      <c r="AD58" s="7">
        <v>136048</v>
      </c>
      <c r="AE58" s="7">
        <v>25828</v>
      </c>
      <c r="AF58" s="7">
        <v>425043</v>
      </c>
      <c r="AG58" s="7">
        <v>306000</v>
      </c>
      <c r="AH58" s="7">
        <v>469569</v>
      </c>
      <c r="AI58" s="7">
        <v>29750</v>
      </c>
      <c r="AJ58" s="7">
        <v>805319</v>
      </c>
      <c r="AK58" s="7">
        <v>1230362</v>
      </c>
      <c r="AL58" s="7">
        <v>1817</v>
      </c>
      <c r="AM58" s="7">
        <v>8456</v>
      </c>
      <c r="AN58" s="7">
        <v>-3036</v>
      </c>
      <c r="AO58" s="7">
        <v>8952</v>
      </c>
      <c r="AP58" s="7">
        <v>3354</v>
      </c>
      <c r="AQ58" s="7">
        <v>2191</v>
      </c>
      <c r="AR58" s="7">
        <v>190433</v>
      </c>
      <c r="AS58" s="7">
        <v>-54419</v>
      </c>
      <c r="AT58" s="7">
        <v>-1152</v>
      </c>
      <c r="AU58" s="7">
        <v>-4243</v>
      </c>
      <c r="AV58" s="7">
        <v>-2694</v>
      </c>
      <c r="AW58" s="7">
        <v>-62508</v>
      </c>
      <c r="AX58" s="7">
        <v>-6577</v>
      </c>
      <c r="AY58" s="7">
        <v>0</v>
      </c>
      <c r="AZ58" s="7">
        <v>-34644</v>
      </c>
      <c r="BA58" s="7">
        <v>-41221</v>
      </c>
      <c r="BB58" s="7">
        <v>86704</v>
      </c>
      <c r="BC58" s="7">
        <v>335218</v>
      </c>
      <c r="BD58" s="7">
        <v>421922</v>
      </c>
      <c r="BE58" s="7">
        <v>43</v>
      </c>
      <c r="BF58" s="7">
        <v>70</v>
      </c>
      <c r="BG58" s="8">
        <v>7.01</v>
      </c>
      <c r="BH58" s="8">
        <v>35</v>
      </c>
      <c r="BI58" s="7">
        <v>22</v>
      </c>
      <c r="BJ58" s="7">
        <v>15</v>
      </c>
      <c r="BK58" s="8">
        <v>5.2</v>
      </c>
      <c r="BL58" s="6" t="s">
        <v>100</v>
      </c>
      <c r="BM58" s="6" t="s">
        <v>101</v>
      </c>
      <c r="BN58" s="6" t="s">
        <v>147</v>
      </c>
      <c r="BO58" s="6" t="s">
        <v>148</v>
      </c>
      <c r="BP58" s="6" t="s">
        <v>104</v>
      </c>
      <c r="BQ58" s="6" t="s">
        <v>105</v>
      </c>
      <c r="BR58" s="6" t="s">
        <v>149</v>
      </c>
      <c r="BS58" s="7">
        <v>1999</v>
      </c>
      <c r="BT58" s="6" t="s">
        <v>107</v>
      </c>
      <c r="BU58" s="6" t="s">
        <v>108</v>
      </c>
      <c r="BV58" s="6" t="s">
        <v>109</v>
      </c>
      <c r="BW58" s="6" t="s">
        <v>110</v>
      </c>
      <c r="BX58" s="6" t="s">
        <v>120</v>
      </c>
      <c r="BY58" s="7" t="b">
        <f t="shared" si="20"/>
        <v>1</v>
      </c>
      <c r="BZ58" s="7" t="b">
        <f t="shared" si="0"/>
        <v>1</v>
      </c>
      <c r="CA58" s="7" t="b">
        <f t="shared" si="1"/>
        <v>1</v>
      </c>
      <c r="CB58" s="7" t="b">
        <f t="shared" si="2"/>
        <v>1</v>
      </c>
      <c r="CC58" s="9">
        <f t="shared" si="21"/>
        <v>6.64876487852601</v>
      </c>
      <c r="CD58" s="9">
        <f t="shared" si="22"/>
        <v>33.1892371214011</v>
      </c>
      <c r="CE58" s="9">
        <f t="shared" si="23"/>
        <v>17.1421937214949</v>
      </c>
      <c r="CF58" s="9">
        <f t="shared" si="24"/>
        <v>13.2417538840522</v>
      </c>
      <c r="CG58" s="9">
        <f t="shared" si="25"/>
        <v>2.89872590408372</v>
      </c>
      <c r="CH58" s="9">
        <f t="shared" si="26"/>
        <v>2.14799347942561</v>
      </c>
      <c r="CI58" s="9">
        <f t="shared" si="27"/>
        <v>17.0116599829969</v>
      </c>
      <c r="CJ58" s="9">
        <f t="shared" si="28"/>
        <v>0.259903218476157</v>
      </c>
      <c r="CK58" s="9">
        <f t="shared" si="29"/>
        <v>11.7995461647516</v>
      </c>
      <c r="CL58" s="9">
        <f t="shared" si="30"/>
        <v>18.3948539328229</v>
      </c>
      <c r="CM58" s="9">
        <f t="shared" si="31"/>
        <v>1.37419359494292</v>
      </c>
      <c r="CN58" s="10">
        <f t="shared" si="32"/>
        <v>136014</v>
      </c>
      <c r="CO58" s="11">
        <f t="shared" si="33"/>
        <v>50.3167512801916</v>
      </c>
      <c r="CP58" s="11">
        <f t="shared" si="34"/>
        <v>80.2071825970051</v>
      </c>
      <c r="CQ58" s="11">
        <f t="shared" si="35"/>
        <v>55.6632960997726</v>
      </c>
      <c r="CR58" s="9">
        <f t="shared" si="36"/>
        <v>12.0336061175208</v>
      </c>
      <c r="CS58" s="10">
        <f t="shared" si="37"/>
        <v>499682</v>
      </c>
    </row>
    <row r="59" spans="1:97">
      <c r="A59" s="6" t="s">
        <v>146</v>
      </c>
      <c r="B59" s="7">
        <v>2025</v>
      </c>
      <c r="C59" s="7">
        <v>1125345</v>
      </c>
      <c r="D59" s="7">
        <v>731308</v>
      </c>
      <c r="E59" s="7">
        <v>394037</v>
      </c>
      <c r="F59" s="7">
        <v>79994</v>
      </c>
      <c r="G59" s="7">
        <v>63201</v>
      </c>
      <c r="H59" s="7">
        <v>30756</v>
      </c>
      <c r="I59" s="7">
        <v>220086</v>
      </c>
      <c r="J59" s="7">
        <v>7595</v>
      </c>
      <c r="K59" s="7">
        <v>14043</v>
      </c>
      <c r="L59" s="7">
        <v>1101</v>
      </c>
      <c r="M59" s="7">
        <v>214739</v>
      </c>
      <c r="N59" s="7">
        <v>42948</v>
      </c>
      <c r="O59" s="7">
        <v>171791</v>
      </c>
      <c r="P59" s="7">
        <v>524451</v>
      </c>
      <c r="Q59" s="7">
        <v>141824</v>
      </c>
      <c r="R59" s="7">
        <v>140251</v>
      </c>
      <c r="S59" s="7">
        <v>57007</v>
      </c>
      <c r="T59" s="7">
        <v>863533</v>
      </c>
      <c r="U59" s="7">
        <v>432611</v>
      </c>
      <c r="V59" s="7">
        <v>20511</v>
      </c>
      <c r="W59" s="7">
        <v>27973</v>
      </c>
      <c r="X59" s="7">
        <v>21784</v>
      </c>
      <c r="Y59" s="7">
        <v>1366412</v>
      </c>
      <c r="Z59" s="7">
        <v>70897</v>
      </c>
      <c r="AA59" s="7">
        <v>120215</v>
      </c>
      <c r="AB59" s="7">
        <v>78984</v>
      </c>
      <c r="AC59" s="7">
        <v>270096</v>
      </c>
      <c r="AD59" s="7">
        <v>131665</v>
      </c>
      <c r="AE59" s="7">
        <v>30489</v>
      </c>
      <c r="AF59" s="7">
        <v>432250</v>
      </c>
      <c r="AG59" s="7">
        <v>306000</v>
      </c>
      <c r="AH59" s="7">
        <v>598412</v>
      </c>
      <c r="AI59" s="7">
        <v>29750</v>
      </c>
      <c r="AJ59" s="7">
        <v>934162</v>
      </c>
      <c r="AK59" s="7">
        <v>1366412</v>
      </c>
      <c r="AL59" s="7">
        <v>1535</v>
      </c>
      <c r="AM59" s="7">
        <v>9165</v>
      </c>
      <c r="AN59" s="7">
        <v>-8855</v>
      </c>
      <c r="AO59" s="7">
        <v>9111</v>
      </c>
      <c r="AP59" s="7">
        <v>178</v>
      </c>
      <c r="AQ59" s="7">
        <v>4661</v>
      </c>
      <c r="AR59" s="7">
        <v>218342</v>
      </c>
      <c r="AS59" s="7">
        <v>-61894</v>
      </c>
      <c r="AT59" s="7">
        <v>-1194</v>
      </c>
      <c r="AU59" s="7">
        <v>-1049</v>
      </c>
      <c r="AV59" s="7">
        <v>-1985</v>
      </c>
      <c r="AW59" s="7">
        <v>-66122</v>
      </c>
      <c r="AX59" s="7">
        <v>-6743</v>
      </c>
      <c r="AY59" s="7">
        <v>0</v>
      </c>
      <c r="AZ59" s="7">
        <v>-42948</v>
      </c>
      <c r="BA59" s="7">
        <v>-49691</v>
      </c>
      <c r="BB59" s="7">
        <v>102529</v>
      </c>
      <c r="BC59" s="7">
        <v>421922</v>
      </c>
      <c r="BD59" s="7">
        <v>524451</v>
      </c>
      <c r="BE59" s="7">
        <v>40</v>
      </c>
      <c r="BF59" s="7">
        <v>61</v>
      </c>
      <c r="BG59" s="8">
        <v>6.82</v>
      </c>
      <c r="BH59" s="8">
        <v>35</v>
      </c>
      <c r="BI59" s="7">
        <v>17</v>
      </c>
      <c r="BJ59" s="7">
        <v>19</v>
      </c>
      <c r="BK59" s="8">
        <v>5.5</v>
      </c>
      <c r="BL59" s="6" t="s">
        <v>100</v>
      </c>
      <c r="BM59" s="6" t="s">
        <v>101</v>
      </c>
      <c r="BN59" s="6" t="s">
        <v>147</v>
      </c>
      <c r="BO59" s="6" t="s">
        <v>148</v>
      </c>
      <c r="BP59" s="6" t="s">
        <v>104</v>
      </c>
      <c r="BQ59" s="6" t="s">
        <v>105</v>
      </c>
      <c r="BR59" s="6" t="s">
        <v>149</v>
      </c>
      <c r="BS59" s="7">
        <v>1999</v>
      </c>
      <c r="BT59" s="6" t="s">
        <v>107</v>
      </c>
      <c r="BU59" s="6" t="s">
        <v>108</v>
      </c>
      <c r="BV59" s="6" t="s">
        <v>109</v>
      </c>
      <c r="BW59" s="6" t="s">
        <v>110</v>
      </c>
      <c r="BX59" s="6" t="s">
        <v>120</v>
      </c>
      <c r="BY59" s="7" t="b">
        <f t="shared" si="20"/>
        <v>1</v>
      </c>
      <c r="BZ59" s="7" t="b">
        <f t="shared" si="0"/>
        <v>1</v>
      </c>
      <c r="CA59" s="7" t="b">
        <f t="shared" si="1"/>
        <v>1</v>
      </c>
      <c r="CB59" s="7" t="b">
        <f t="shared" si="2"/>
        <v>1</v>
      </c>
      <c r="CC59" s="9">
        <f t="shared" si="21"/>
        <v>7.53179815446005</v>
      </c>
      <c r="CD59" s="9">
        <f t="shared" si="22"/>
        <v>35.0147732473153</v>
      </c>
      <c r="CE59" s="9">
        <f t="shared" si="23"/>
        <v>19.5572024579129</v>
      </c>
      <c r="CF59" s="9">
        <f t="shared" si="24"/>
        <v>15.2656296513514</v>
      </c>
      <c r="CG59" s="9">
        <f t="shared" si="25"/>
        <v>3.19713361175286</v>
      </c>
      <c r="CH59" s="9">
        <f t="shared" si="26"/>
        <v>2.4668080978615</v>
      </c>
      <c r="CI59" s="9">
        <f t="shared" si="27"/>
        <v>14.8243721512984</v>
      </c>
      <c r="CJ59" s="9">
        <f t="shared" si="28"/>
        <v>0.216838192947262</v>
      </c>
      <c r="CK59" s="9">
        <f t="shared" si="29"/>
        <v>13.2311090607038</v>
      </c>
      <c r="CL59" s="9">
        <f t="shared" si="30"/>
        <v>19.7519834939272</v>
      </c>
      <c r="CM59" s="9">
        <f t="shared" si="31"/>
        <v>1.27097461450251</v>
      </c>
      <c r="CN59" s="10">
        <f t="shared" si="32"/>
        <v>156448</v>
      </c>
      <c r="CO59" s="11">
        <f t="shared" si="33"/>
        <v>46.2488370233129</v>
      </c>
      <c r="CP59" s="11">
        <f t="shared" si="34"/>
        <v>72.2872271327539</v>
      </c>
      <c r="CQ59" s="11">
        <f t="shared" si="35"/>
        <v>57.7263170921144</v>
      </c>
      <c r="CR59" s="9">
        <f t="shared" si="36"/>
        <v>15.6722922452467</v>
      </c>
      <c r="CS59" s="10">
        <f t="shared" si="37"/>
        <v>593437</v>
      </c>
    </row>
    <row r="60" spans="1:97">
      <c r="A60" s="6" t="s">
        <v>150</v>
      </c>
      <c r="B60" s="7">
        <v>2021</v>
      </c>
      <c r="C60" s="7">
        <v>1669434</v>
      </c>
      <c r="D60" s="7">
        <v>1131525</v>
      </c>
      <c r="E60" s="7">
        <v>537909</v>
      </c>
      <c r="F60" s="7">
        <v>126295</v>
      </c>
      <c r="G60" s="7">
        <v>95175</v>
      </c>
      <c r="H60" s="7">
        <v>50591</v>
      </c>
      <c r="I60" s="7">
        <v>265848</v>
      </c>
      <c r="J60" s="7">
        <v>6619</v>
      </c>
      <c r="K60" s="7">
        <v>27837</v>
      </c>
      <c r="L60" s="7">
        <v>3021</v>
      </c>
      <c r="M60" s="7">
        <v>247651</v>
      </c>
      <c r="N60" s="7">
        <v>49530</v>
      </c>
      <c r="O60" s="7">
        <v>198121</v>
      </c>
      <c r="P60" s="7">
        <v>521633</v>
      </c>
      <c r="Q60" s="7">
        <v>228690</v>
      </c>
      <c r="R60" s="7">
        <v>248005</v>
      </c>
      <c r="S60" s="7">
        <v>77192</v>
      </c>
      <c r="T60" s="7">
        <v>1075520</v>
      </c>
      <c r="U60" s="7">
        <v>692228</v>
      </c>
      <c r="V60" s="7">
        <v>31290</v>
      </c>
      <c r="W60" s="7">
        <v>39172</v>
      </c>
      <c r="X60" s="7">
        <v>28719</v>
      </c>
      <c r="Y60" s="7">
        <v>1866929</v>
      </c>
      <c r="Z60" s="7">
        <v>175290</v>
      </c>
      <c r="AA60" s="7">
        <v>170504</v>
      </c>
      <c r="AB60" s="7">
        <v>117568</v>
      </c>
      <c r="AC60" s="7">
        <v>463362</v>
      </c>
      <c r="AD60" s="7">
        <v>242068</v>
      </c>
      <c r="AE60" s="7">
        <v>41478</v>
      </c>
      <c r="AF60" s="7">
        <v>746908</v>
      </c>
      <c r="AG60" s="7">
        <v>558000</v>
      </c>
      <c r="AH60" s="7">
        <v>507771</v>
      </c>
      <c r="AI60" s="7">
        <v>54250</v>
      </c>
      <c r="AJ60" s="7">
        <v>1120021</v>
      </c>
      <c r="AK60" s="7">
        <v>1866929</v>
      </c>
      <c r="AL60" s="7">
        <v>-29101</v>
      </c>
      <c r="AM60" s="7">
        <v>-31430</v>
      </c>
      <c r="AN60" s="7">
        <v>308</v>
      </c>
      <c r="AO60" s="7">
        <v>17457</v>
      </c>
      <c r="AP60" s="7">
        <v>1318</v>
      </c>
      <c r="AQ60" s="7">
        <v>-1922</v>
      </c>
      <c r="AR60" s="7">
        <v>205342</v>
      </c>
      <c r="AS60" s="7">
        <v>-91819</v>
      </c>
      <c r="AT60" s="7">
        <v>-3390</v>
      </c>
      <c r="AU60" s="7">
        <v>-422</v>
      </c>
      <c r="AV60" s="7">
        <v>-819</v>
      </c>
      <c r="AW60" s="7">
        <v>-96450</v>
      </c>
      <c r="AX60" s="7">
        <v>60858</v>
      </c>
      <c r="AY60" s="7">
        <v>0</v>
      </c>
      <c r="AZ60" s="7">
        <v>-15850</v>
      </c>
      <c r="BA60" s="7">
        <v>45008</v>
      </c>
      <c r="BB60" s="7">
        <v>153900</v>
      </c>
      <c r="BC60" s="7">
        <v>367733</v>
      </c>
      <c r="BD60" s="7">
        <v>521633</v>
      </c>
      <c r="BE60" s="7">
        <v>46</v>
      </c>
      <c r="BF60" s="7">
        <v>71</v>
      </c>
      <c r="BG60" s="8">
        <v>7.19</v>
      </c>
      <c r="BH60" s="8">
        <v>42</v>
      </c>
      <c r="BI60" s="7">
        <v>22</v>
      </c>
      <c r="BJ60" s="7">
        <v>7</v>
      </c>
      <c r="BK60" s="8">
        <v>5.5</v>
      </c>
      <c r="BL60" s="6" t="s">
        <v>100</v>
      </c>
      <c r="BM60" s="6" t="s">
        <v>101</v>
      </c>
      <c r="BN60" s="6" t="s">
        <v>151</v>
      </c>
      <c r="BO60" s="6" t="s">
        <v>152</v>
      </c>
      <c r="BP60" s="6" t="s">
        <v>104</v>
      </c>
      <c r="BQ60" s="6" t="s">
        <v>105</v>
      </c>
      <c r="BR60" s="6" t="s">
        <v>153</v>
      </c>
      <c r="BS60" s="7">
        <v>2001</v>
      </c>
      <c r="BT60" s="6" t="s">
        <v>107</v>
      </c>
      <c r="BU60" s="6" t="s">
        <v>108</v>
      </c>
      <c r="BV60" s="6" t="s">
        <v>109</v>
      </c>
      <c r="BW60" s="6" t="s">
        <v>110</v>
      </c>
      <c r="BX60" s="6" t="s">
        <v>111</v>
      </c>
      <c r="BY60" s="7" t="b">
        <f t="shared" si="20"/>
        <v>1</v>
      </c>
      <c r="BZ60" s="7" t="b">
        <f t="shared" si="0"/>
        <v>1</v>
      </c>
      <c r="CA60" s="7" t="b">
        <f t="shared" si="1"/>
        <v>1</v>
      </c>
      <c r="CB60" s="7" t="b">
        <f t="shared" si="2"/>
        <v>1</v>
      </c>
      <c r="CC60" s="9" t="str">
        <f t="shared" si="21"/>
        <v/>
      </c>
      <c r="CD60" s="9">
        <f t="shared" si="22"/>
        <v>32.221040184877</v>
      </c>
      <c r="CE60" s="9">
        <f t="shared" si="23"/>
        <v>15.9244390613825</v>
      </c>
      <c r="CF60" s="9">
        <f t="shared" si="24"/>
        <v>11.8675551114929</v>
      </c>
      <c r="CG60" s="9">
        <f t="shared" si="25"/>
        <v>2.32112257802755</v>
      </c>
      <c r="CH60" s="9">
        <f t="shared" si="26"/>
        <v>1.61930197124494</v>
      </c>
      <c r="CI60" s="9">
        <f t="shared" si="27"/>
        <v>22.3553225644896</v>
      </c>
      <c r="CJ60" s="9">
        <f t="shared" si="28"/>
        <v>0.372634084539486</v>
      </c>
      <c r="CK60" s="9" t="str">
        <f t="shared" si="29"/>
        <v/>
      </c>
      <c r="CL60" s="9" t="str">
        <f t="shared" si="30"/>
        <v/>
      </c>
      <c r="CM60" s="9">
        <f t="shared" si="31"/>
        <v>1.0364474235442</v>
      </c>
      <c r="CN60" s="10">
        <f t="shared" si="32"/>
        <v>113523</v>
      </c>
      <c r="CO60" s="11" t="str">
        <f t="shared" si="33"/>
        <v/>
      </c>
      <c r="CP60" s="11" t="str">
        <f t="shared" si="34"/>
        <v/>
      </c>
      <c r="CQ60" s="11" t="str">
        <f t="shared" si="35"/>
        <v/>
      </c>
      <c r="CR60" s="9">
        <f t="shared" si="36"/>
        <v>9.55016704386249</v>
      </c>
      <c r="CS60" s="10">
        <f t="shared" si="37"/>
        <v>612158</v>
      </c>
    </row>
    <row r="61" spans="1:97">
      <c r="A61" s="6" t="s">
        <v>150</v>
      </c>
      <c r="B61" s="7">
        <v>2022</v>
      </c>
      <c r="C61" s="7">
        <v>1776560</v>
      </c>
      <c r="D61" s="7">
        <v>1247622</v>
      </c>
      <c r="E61" s="7">
        <v>528938</v>
      </c>
      <c r="F61" s="7">
        <v>139610</v>
      </c>
      <c r="G61" s="7">
        <v>102945</v>
      </c>
      <c r="H61" s="7">
        <v>54517</v>
      </c>
      <c r="I61" s="7">
        <v>231866</v>
      </c>
      <c r="J61" s="7">
        <v>9389</v>
      </c>
      <c r="K61" s="7">
        <v>36251</v>
      </c>
      <c r="L61" s="7">
        <v>1770</v>
      </c>
      <c r="M61" s="7">
        <v>206774</v>
      </c>
      <c r="N61" s="7">
        <v>41355</v>
      </c>
      <c r="O61" s="7">
        <v>165419</v>
      </c>
      <c r="P61" s="7">
        <v>631015</v>
      </c>
      <c r="Q61" s="7">
        <v>292037</v>
      </c>
      <c r="R61" s="7">
        <v>307633</v>
      </c>
      <c r="S61" s="7">
        <v>89945</v>
      </c>
      <c r="T61" s="7">
        <v>1320630</v>
      </c>
      <c r="U61" s="7">
        <v>735422</v>
      </c>
      <c r="V61" s="7">
        <v>31146</v>
      </c>
      <c r="W61" s="7">
        <v>42556</v>
      </c>
      <c r="X61" s="7">
        <v>31084</v>
      </c>
      <c r="Y61" s="7">
        <v>2160838</v>
      </c>
      <c r="Z61" s="7">
        <v>223847</v>
      </c>
      <c r="AA61" s="7">
        <v>184580</v>
      </c>
      <c r="AB61" s="7">
        <v>125368</v>
      </c>
      <c r="AC61" s="7">
        <v>533795</v>
      </c>
      <c r="AD61" s="7">
        <v>309121</v>
      </c>
      <c r="AE61" s="7">
        <v>45716</v>
      </c>
      <c r="AF61" s="7">
        <v>888632</v>
      </c>
      <c r="AG61" s="7">
        <v>558000</v>
      </c>
      <c r="AH61" s="7">
        <v>659956</v>
      </c>
      <c r="AI61" s="7">
        <v>54250</v>
      </c>
      <c r="AJ61" s="7">
        <v>1272206</v>
      </c>
      <c r="AK61" s="7">
        <v>2160838</v>
      </c>
      <c r="AL61" s="7">
        <v>-63347</v>
      </c>
      <c r="AM61" s="7">
        <v>-59628</v>
      </c>
      <c r="AN61" s="7">
        <v>-12753</v>
      </c>
      <c r="AO61" s="7">
        <v>14076</v>
      </c>
      <c r="AP61" s="7">
        <v>7800</v>
      </c>
      <c r="AQ61" s="7">
        <v>4238</v>
      </c>
      <c r="AR61" s="7">
        <v>110322</v>
      </c>
      <c r="AS61" s="7">
        <v>-97711</v>
      </c>
      <c r="AT61" s="7">
        <v>144</v>
      </c>
      <c r="AU61" s="7">
        <v>-3384</v>
      </c>
      <c r="AV61" s="7">
        <v>-2365</v>
      </c>
      <c r="AW61" s="7">
        <v>-103316</v>
      </c>
      <c r="AX61" s="7">
        <v>115610</v>
      </c>
      <c r="AY61" s="7">
        <v>0</v>
      </c>
      <c r="AZ61" s="7">
        <v>-13234</v>
      </c>
      <c r="BA61" s="7">
        <v>102376</v>
      </c>
      <c r="BB61" s="7">
        <v>109382</v>
      </c>
      <c r="BC61" s="7">
        <v>521633</v>
      </c>
      <c r="BD61" s="7">
        <v>631015</v>
      </c>
      <c r="BE61" s="7">
        <v>51</v>
      </c>
      <c r="BF61" s="7">
        <v>83</v>
      </c>
      <c r="BG61" s="8">
        <v>7.63</v>
      </c>
      <c r="BH61" s="8">
        <v>42</v>
      </c>
      <c r="BI61" s="7">
        <v>24</v>
      </c>
      <c r="BJ61" s="7">
        <v>9</v>
      </c>
      <c r="BK61" s="8">
        <v>5.5</v>
      </c>
      <c r="BL61" s="6" t="s">
        <v>100</v>
      </c>
      <c r="BM61" s="6" t="s">
        <v>101</v>
      </c>
      <c r="BN61" s="6" t="s">
        <v>151</v>
      </c>
      <c r="BO61" s="6" t="s">
        <v>152</v>
      </c>
      <c r="BP61" s="6" t="s">
        <v>104</v>
      </c>
      <c r="BQ61" s="6" t="s">
        <v>105</v>
      </c>
      <c r="BR61" s="6" t="s">
        <v>153</v>
      </c>
      <c r="BS61" s="7">
        <v>2001</v>
      </c>
      <c r="BT61" s="6" t="s">
        <v>107</v>
      </c>
      <c r="BU61" s="6" t="s">
        <v>108</v>
      </c>
      <c r="BV61" s="6" t="s">
        <v>109</v>
      </c>
      <c r="BW61" s="6" t="s">
        <v>110</v>
      </c>
      <c r="BX61" s="6" t="s">
        <v>111</v>
      </c>
      <c r="BY61" s="7" t="b">
        <f t="shared" si="20"/>
        <v>1</v>
      </c>
      <c r="BZ61" s="7" t="b">
        <f t="shared" si="0"/>
        <v>1</v>
      </c>
      <c r="CA61" s="7" t="b">
        <f t="shared" si="1"/>
        <v>1</v>
      </c>
      <c r="CB61" s="7" t="b">
        <f t="shared" si="2"/>
        <v>1</v>
      </c>
      <c r="CC61" s="9">
        <f t="shared" si="21"/>
        <v>6.41690537032312</v>
      </c>
      <c r="CD61" s="9">
        <f t="shared" si="22"/>
        <v>29.7731571126221</v>
      </c>
      <c r="CE61" s="9">
        <f t="shared" si="23"/>
        <v>13.0514027108569</v>
      </c>
      <c r="CF61" s="9">
        <f t="shared" si="24"/>
        <v>9.31119691989012</v>
      </c>
      <c r="CG61" s="9">
        <f t="shared" si="25"/>
        <v>2.47403965941981</v>
      </c>
      <c r="CH61" s="9">
        <f t="shared" si="26"/>
        <v>1.72922563905619</v>
      </c>
      <c r="CI61" s="9">
        <f t="shared" si="27"/>
        <v>24.6648753863085</v>
      </c>
      <c r="CJ61" s="9">
        <f t="shared" si="28"/>
        <v>0.418932154069388</v>
      </c>
      <c r="CK61" s="9">
        <f t="shared" si="29"/>
        <v>8.21393094486349</v>
      </c>
      <c r="CL61" s="9">
        <f t="shared" si="30"/>
        <v>13.8297076322607</v>
      </c>
      <c r="CM61" s="9">
        <f t="shared" si="31"/>
        <v>0.666924597537163</v>
      </c>
      <c r="CN61" s="10">
        <f t="shared" si="32"/>
        <v>12611</v>
      </c>
      <c r="CO61" s="11">
        <f t="shared" si="33"/>
        <v>53.4925234723285</v>
      </c>
      <c r="CP61" s="11">
        <f t="shared" si="34"/>
        <v>81.2777708312293</v>
      </c>
      <c r="CQ61" s="11">
        <f t="shared" si="35"/>
        <v>51.9410767043223</v>
      </c>
      <c r="CR61" s="9">
        <f t="shared" si="36"/>
        <v>6.39612700339301</v>
      </c>
      <c r="CS61" s="10">
        <f t="shared" si="37"/>
        <v>786835</v>
      </c>
    </row>
    <row r="62" spans="1:97">
      <c r="A62" s="6" t="s">
        <v>150</v>
      </c>
      <c r="B62" s="7">
        <v>2023</v>
      </c>
      <c r="C62" s="7">
        <v>1886099</v>
      </c>
      <c r="D62" s="7">
        <v>1355402</v>
      </c>
      <c r="E62" s="7">
        <v>530697</v>
      </c>
      <c r="F62" s="7">
        <v>153918</v>
      </c>
      <c r="G62" s="7">
        <v>112867</v>
      </c>
      <c r="H62" s="7">
        <v>59757</v>
      </c>
      <c r="I62" s="7">
        <v>204155</v>
      </c>
      <c r="J62" s="7">
        <v>11358</v>
      </c>
      <c r="K62" s="7">
        <v>52331</v>
      </c>
      <c r="L62" s="7">
        <v>2540</v>
      </c>
      <c r="M62" s="7">
        <v>165722</v>
      </c>
      <c r="N62" s="7">
        <v>33144</v>
      </c>
      <c r="O62" s="7">
        <v>132578</v>
      </c>
      <c r="P62" s="7">
        <v>707326</v>
      </c>
      <c r="Q62" s="7">
        <v>387555</v>
      </c>
      <c r="R62" s="7">
        <v>389910</v>
      </c>
      <c r="S62" s="7">
        <v>91131</v>
      </c>
      <c r="T62" s="7">
        <v>1575922</v>
      </c>
      <c r="U62" s="7">
        <v>769970</v>
      </c>
      <c r="V62" s="7">
        <v>32422</v>
      </c>
      <c r="W62" s="7">
        <v>42362</v>
      </c>
      <c r="X62" s="7">
        <v>36311</v>
      </c>
      <c r="Y62" s="7">
        <v>2456987</v>
      </c>
      <c r="Z62" s="7">
        <v>325918</v>
      </c>
      <c r="AA62" s="7">
        <v>193098</v>
      </c>
      <c r="AB62" s="7">
        <v>142050</v>
      </c>
      <c r="AC62" s="7">
        <v>661066</v>
      </c>
      <c r="AD62" s="7">
        <v>353078</v>
      </c>
      <c r="AE62" s="7">
        <v>48665</v>
      </c>
      <c r="AF62" s="7">
        <v>1062809</v>
      </c>
      <c r="AG62" s="7">
        <v>558000</v>
      </c>
      <c r="AH62" s="7">
        <v>781928</v>
      </c>
      <c r="AI62" s="7">
        <v>54250</v>
      </c>
      <c r="AJ62" s="7">
        <v>1394178</v>
      </c>
      <c r="AK62" s="7">
        <v>2456987</v>
      </c>
      <c r="AL62" s="7">
        <v>-95518</v>
      </c>
      <c r="AM62" s="7">
        <v>-82277</v>
      </c>
      <c r="AN62" s="7">
        <v>-1186</v>
      </c>
      <c r="AO62" s="7">
        <v>8518</v>
      </c>
      <c r="AP62" s="7">
        <v>16682</v>
      </c>
      <c r="AQ62" s="7">
        <v>2949</v>
      </c>
      <c r="AR62" s="7">
        <v>41503</v>
      </c>
      <c r="AS62" s="7">
        <v>-94305</v>
      </c>
      <c r="AT62" s="7">
        <v>-1276</v>
      </c>
      <c r="AU62" s="7">
        <v>194</v>
      </c>
      <c r="AV62" s="7">
        <v>-5227</v>
      </c>
      <c r="AW62" s="7">
        <v>-100614</v>
      </c>
      <c r="AX62" s="7">
        <v>146028</v>
      </c>
      <c r="AY62" s="7">
        <v>0</v>
      </c>
      <c r="AZ62" s="7">
        <v>-10606</v>
      </c>
      <c r="BA62" s="7">
        <v>135422</v>
      </c>
      <c r="BB62" s="7">
        <v>76311</v>
      </c>
      <c r="BC62" s="7">
        <v>631015</v>
      </c>
      <c r="BD62" s="7">
        <v>707326</v>
      </c>
      <c r="BE62" s="7">
        <v>71</v>
      </c>
      <c r="BF62" s="7">
        <v>97</v>
      </c>
      <c r="BG62" s="8">
        <v>8.64</v>
      </c>
      <c r="BH62" s="8">
        <v>48</v>
      </c>
      <c r="BI62" s="7">
        <v>15</v>
      </c>
      <c r="BJ62" s="7">
        <v>19</v>
      </c>
      <c r="BK62" s="8">
        <v>5</v>
      </c>
      <c r="BL62" s="6" t="s">
        <v>100</v>
      </c>
      <c r="BM62" s="6" t="s">
        <v>101</v>
      </c>
      <c r="BN62" s="6" t="s">
        <v>151</v>
      </c>
      <c r="BO62" s="6" t="s">
        <v>152</v>
      </c>
      <c r="BP62" s="6" t="s">
        <v>104</v>
      </c>
      <c r="BQ62" s="6" t="s">
        <v>105</v>
      </c>
      <c r="BR62" s="6" t="s">
        <v>153</v>
      </c>
      <c r="BS62" s="7">
        <v>2001</v>
      </c>
      <c r="BT62" s="6" t="s">
        <v>107</v>
      </c>
      <c r="BU62" s="6" t="s">
        <v>108</v>
      </c>
      <c r="BV62" s="6" t="s">
        <v>109</v>
      </c>
      <c r="BW62" s="6" t="s">
        <v>110</v>
      </c>
      <c r="BX62" s="6" t="s">
        <v>111</v>
      </c>
      <c r="BY62" s="7" t="b">
        <f t="shared" si="20"/>
        <v>1</v>
      </c>
      <c r="BZ62" s="7" t="b">
        <f t="shared" si="0"/>
        <v>1</v>
      </c>
      <c r="CA62" s="7" t="b">
        <f t="shared" si="1"/>
        <v>1</v>
      </c>
      <c r="CB62" s="7" t="b">
        <f t="shared" si="2"/>
        <v>1</v>
      </c>
      <c r="CC62" s="9">
        <f t="shared" si="21"/>
        <v>6.16579231773765</v>
      </c>
      <c r="CD62" s="9">
        <f t="shared" si="22"/>
        <v>28.137282295362</v>
      </c>
      <c r="CE62" s="9">
        <f t="shared" si="23"/>
        <v>10.8241932157326</v>
      </c>
      <c r="CF62" s="9">
        <f t="shared" si="24"/>
        <v>7.02921744828877</v>
      </c>
      <c r="CG62" s="9">
        <f t="shared" si="25"/>
        <v>2.38391022984089</v>
      </c>
      <c r="CH62" s="9">
        <f t="shared" si="26"/>
        <v>1.65623553472724</v>
      </c>
      <c r="CI62" s="9">
        <f t="shared" si="27"/>
        <v>27.6353110537418</v>
      </c>
      <c r="CJ62" s="9">
        <f t="shared" si="28"/>
        <v>0.487022460546645</v>
      </c>
      <c r="CK62" s="9">
        <f t="shared" si="29"/>
        <v>5.74201057857325</v>
      </c>
      <c r="CL62" s="9">
        <f t="shared" si="30"/>
        <v>9.94440410683533</v>
      </c>
      <c r="CM62" s="9">
        <f t="shared" si="31"/>
        <v>0.31304590505212</v>
      </c>
      <c r="CN62" s="10">
        <f t="shared" si="32"/>
        <v>-52802</v>
      </c>
      <c r="CO62" s="11">
        <f t="shared" si="33"/>
        <v>65.7577041289985</v>
      </c>
      <c r="CP62" s="11">
        <f t="shared" si="34"/>
        <v>93.9216538709549</v>
      </c>
      <c r="CQ62" s="11">
        <f t="shared" si="35"/>
        <v>50.8529831002168</v>
      </c>
      <c r="CR62" s="9">
        <f t="shared" si="36"/>
        <v>3.9012248953775</v>
      </c>
      <c r="CS62" s="10">
        <f t="shared" si="37"/>
        <v>914856</v>
      </c>
    </row>
    <row r="63" spans="1:97">
      <c r="A63" s="6" t="s">
        <v>150</v>
      </c>
      <c r="B63" s="7">
        <v>2024</v>
      </c>
      <c r="C63" s="7">
        <v>1967485</v>
      </c>
      <c r="D63" s="7">
        <v>1472567</v>
      </c>
      <c r="E63" s="7">
        <v>494918</v>
      </c>
      <c r="F63" s="7">
        <v>171274</v>
      </c>
      <c r="G63" s="7">
        <v>124543</v>
      </c>
      <c r="H63" s="7">
        <v>62334</v>
      </c>
      <c r="I63" s="7">
        <v>136767</v>
      </c>
      <c r="J63" s="7">
        <v>12732</v>
      </c>
      <c r="K63" s="7">
        <v>71657</v>
      </c>
      <c r="L63" s="7">
        <v>4641</v>
      </c>
      <c r="M63" s="7">
        <v>82483</v>
      </c>
      <c r="N63" s="7">
        <v>16497</v>
      </c>
      <c r="O63" s="7">
        <v>65986</v>
      </c>
      <c r="P63" s="7">
        <v>712124</v>
      </c>
      <c r="Q63" s="7">
        <v>495914</v>
      </c>
      <c r="R63" s="7">
        <v>484132</v>
      </c>
      <c r="S63" s="7">
        <v>90365</v>
      </c>
      <c r="T63" s="7">
        <v>1782535</v>
      </c>
      <c r="U63" s="7">
        <v>796173</v>
      </c>
      <c r="V63" s="7">
        <v>34232</v>
      </c>
      <c r="W63" s="7">
        <v>48570</v>
      </c>
      <c r="X63" s="7">
        <v>34091</v>
      </c>
      <c r="Y63" s="7">
        <v>2695601</v>
      </c>
      <c r="Z63" s="7">
        <v>406089</v>
      </c>
      <c r="AA63" s="7">
        <v>197687</v>
      </c>
      <c r="AB63" s="7">
        <v>142760</v>
      </c>
      <c r="AC63" s="7">
        <v>746536</v>
      </c>
      <c r="AD63" s="7">
        <v>439930</v>
      </c>
      <c r="AE63" s="7">
        <v>54250</v>
      </c>
      <c r="AF63" s="7">
        <v>1240716</v>
      </c>
      <c r="AG63" s="7">
        <v>558000</v>
      </c>
      <c r="AH63" s="7">
        <v>842635</v>
      </c>
      <c r="AI63" s="7">
        <v>54250</v>
      </c>
      <c r="AJ63" s="7">
        <v>1454885</v>
      </c>
      <c r="AK63" s="7">
        <v>2695601</v>
      </c>
      <c r="AL63" s="7">
        <v>-108359</v>
      </c>
      <c r="AM63" s="7">
        <v>-94222</v>
      </c>
      <c r="AN63" s="7">
        <v>766</v>
      </c>
      <c r="AO63" s="7">
        <v>4589</v>
      </c>
      <c r="AP63" s="7">
        <v>710</v>
      </c>
      <c r="AQ63" s="7">
        <v>5585</v>
      </c>
      <c r="AR63" s="7">
        <v>-62611</v>
      </c>
      <c r="AS63" s="7">
        <v>-88537</v>
      </c>
      <c r="AT63" s="7">
        <v>-1810</v>
      </c>
      <c r="AU63" s="7">
        <v>-6208</v>
      </c>
      <c r="AV63" s="7">
        <v>2220</v>
      </c>
      <c r="AW63" s="7">
        <v>-94335</v>
      </c>
      <c r="AX63" s="7">
        <v>167023</v>
      </c>
      <c r="AY63" s="7">
        <v>0</v>
      </c>
      <c r="AZ63" s="7">
        <v>-5279</v>
      </c>
      <c r="BA63" s="7">
        <v>161744</v>
      </c>
      <c r="BB63" s="7">
        <v>4798</v>
      </c>
      <c r="BC63" s="7">
        <v>707326</v>
      </c>
      <c r="BD63" s="7">
        <v>712124</v>
      </c>
      <c r="BE63" s="7">
        <v>86</v>
      </c>
      <c r="BF63" s="7">
        <v>112</v>
      </c>
      <c r="BG63" s="8">
        <v>9.4</v>
      </c>
      <c r="BH63" s="8">
        <v>48</v>
      </c>
      <c r="BI63" s="7">
        <v>18</v>
      </c>
      <c r="BJ63" s="7">
        <v>27</v>
      </c>
      <c r="BK63" s="8">
        <v>4.5</v>
      </c>
      <c r="BL63" s="6" t="s">
        <v>100</v>
      </c>
      <c r="BM63" s="6" t="s">
        <v>101</v>
      </c>
      <c r="BN63" s="6" t="s">
        <v>151</v>
      </c>
      <c r="BO63" s="6" t="s">
        <v>152</v>
      </c>
      <c r="BP63" s="6" t="s">
        <v>104</v>
      </c>
      <c r="BQ63" s="6" t="s">
        <v>105</v>
      </c>
      <c r="BR63" s="6" t="s">
        <v>153</v>
      </c>
      <c r="BS63" s="7">
        <v>2001</v>
      </c>
      <c r="BT63" s="6" t="s">
        <v>107</v>
      </c>
      <c r="BU63" s="6" t="s">
        <v>108</v>
      </c>
      <c r="BV63" s="6" t="s">
        <v>109</v>
      </c>
      <c r="BW63" s="6" t="s">
        <v>110</v>
      </c>
      <c r="BX63" s="6" t="s">
        <v>111</v>
      </c>
      <c r="BY63" s="7" t="b">
        <f t="shared" si="20"/>
        <v>1</v>
      </c>
      <c r="BZ63" s="7" t="b">
        <f t="shared" si="0"/>
        <v>1</v>
      </c>
      <c r="CA63" s="7" t="b">
        <f t="shared" si="1"/>
        <v>1</v>
      </c>
      <c r="CB63" s="7" t="b">
        <f t="shared" si="2"/>
        <v>1</v>
      </c>
      <c r="CC63" s="9">
        <f t="shared" si="21"/>
        <v>4.31504390808754</v>
      </c>
      <c r="CD63" s="9">
        <f t="shared" si="22"/>
        <v>25.1548550560741</v>
      </c>
      <c r="CE63" s="9">
        <f t="shared" si="23"/>
        <v>6.95136176387622</v>
      </c>
      <c r="CF63" s="9">
        <f t="shared" si="24"/>
        <v>3.35382480679649</v>
      </c>
      <c r="CG63" s="9">
        <f t="shared" si="25"/>
        <v>2.38774151547949</v>
      </c>
      <c r="CH63" s="9">
        <f t="shared" si="26"/>
        <v>1.61819121917764</v>
      </c>
      <c r="CI63" s="9">
        <f t="shared" si="27"/>
        <v>31.3851716184999</v>
      </c>
      <c r="CJ63" s="9">
        <f t="shared" si="28"/>
        <v>0.58150231805263</v>
      </c>
      <c r="CK63" s="9">
        <f t="shared" si="29"/>
        <v>2.5612760034375</v>
      </c>
      <c r="CL63" s="9">
        <f t="shared" si="30"/>
        <v>4.63211940206306</v>
      </c>
      <c r="CM63" s="9">
        <f t="shared" si="31"/>
        <v>-0.948852786954809</v>
      </c>
      <c r="CN63" s="10">
        <f t="shared" si="32"/>
        <v>-151148</v>
      </c>
      <c r="CO63" s="11">
        <f t="shared" si="33"/>
        <v>81.9488293430446</v>
      </c>
      <c r="CP63" s="11">
        <f t="shared" si="34"/>
        <v>108.322857296137</v>
      </c>
      <c r="CQ63" s="11">
        <f t="shared" si="35"/>
        <v>48.4312513454396</v>
      </c>
      <c r="CR63" s="9">
        <f t="shared" si="36"/>
        <v>1.9086341878672</v>
      </c>
      <c r="CS63" s="10">
        <f t="shared" si="37"/>
        <v>1035999</v>
      </c>
    </row>
    <row r="64" spans="1:97">
      <c r="A64" s="6" t="s">
        <v>150</v>
      </c>
      <c r="B64" s="7">
        <v>2025</v>
      </c>
      <c r="C64" s="7">
        <v>2005778</v>
      </c>
      <c r="D64" s="7">
        <v>1560332</v>
      </c>
      <c r="E64" s="7">
        <v>445446</v>
      </c>
      <c r="F64" s="7">
        <v>182045</v>
      </c>
      <c r="G64" s="7">
        <v>136964</v>
      </c>
      <c r="H64" s="7">
        <v>60917</v>
      </c>
      <c r="I64" s="7">
        <v>65520</v>
      </c>
      <c r="J64" s="7">
        <v>12818</v>
      </c>
      <c r="K64" s="7">
        <v>98436</v>
      </c>
      <c r="L64" s="7">
        <v>3324</v>
      </c>
      <c r="M64" s="7">
        <v>-16774</v>
      </c>
      <c r="N64" s="7">
        <v>0</v>
      </c>
      <c r="O64" s="7">
        <v>-16774</v>
      </c>
      <c r="P64" s="7">
        <v>629831</v>
      </c>
      <c r="Q64" s="7">
        <v>604481</v>
      </c>
      <c r="R64" s="7">
        <v>577109</v>
      </c>
      <c r="S64" s="7">
        <v>96107</v>
      </c>
      <c r="T64" s="7">
        <v>1907528</v>
      </c>
      <c r="U64" s="7">
        <v>815487</v>
      </c>
      <c r="V64" s="7">
        <v>37483</v>
      </c>
      <c r="W64" s="7">
        <v>44350</v>
      </c>
      <c r="X64" s="7">
        <v>38438</v>
      </c>
      <c r="Y64" s="7">
        <v>2843286</v>
      </c>
      <c r="Z64" s="7">
        <v>481387</v>
      </c>
      <c r="AA64" s="7">
        <v>196645</v>
      </c>
      <c r="AB64" s="7">
        <v>152580</v>
      </c>
      <c r="AC64" s="7">
        <v>830612</v>
      </c>
      <c r="AD64" s="7">
        <v>521502</v>
      </c>
      <c r="AE64" s="7">
        <v>53061</v>
      </c>
      <c r="AF64" s="7">
        <v>1405175</v>
      </c>
      <c r="AG64" s="7">
        <v>558000</v>
      </c>
      <c r="AH64" s="7">
        <v>825861</v>
      </c>
      <c r="AI64" s="7">
        <v>54250</v>
      </c>
      <c r="AJ64" s="7">
        <v>1438111</v>
      </c>
      <c r="AK64" s="7">
        <v>2843286</v>
      </c>
      <c r="AL64" s="7">
        <v>-108567</v>
      </c>
      <c r="AM64" s="7">
        <v>-92977</v>
      </c>
      <c r="AN64" s="7">
        <v>-5742</v>
      </c>
      <c r="AO64" s="7">
        <v>-1042</v>
      </c>
      <c r="AP64" s="7">
        <v>9820</v>
      </c>
      <c r="AQ64" s="7">
        <v>-1189</v>
      </c>
      <c r="AR64" s="7">
        <v>-155554</v>
      </c>
      <c r="AS64" s="7">
        <v>-80231</v>
      </c>
      <c r="AT64" s="7">
        <v>-3251</v>
      </c>
      <c r="AU64" s="7">
        <v>4220</v>
      </c>
      <c r="AV64" s="7">
        <v>-4347</v>
      </c>
      <c r="AW64" s="7">
        <v>-83609</v>
      </c>
      <c r="AX64" s="7">
        <v>156870</v>
      </c>
      <c r="AY64" s="7">
        <v>0</v>
      </c>
      <c r="AZ64" s="7">
        <v>0</v>
      </c>
      <c r="BA64" s="7">
        <v>156870</v>
      </c>
      <c r="BB64" s="7">
        <v>-82293</v>
      </c>
      <c r="BC64" s="7">
        <v>712124</v>
      </c>
      <c r="BD64" s="7">
        <v>629831</v>
      </c>
      <c r="BE64" s="7">
        <v>104</v>
      </c>
      <c r="BF64" s="7">
        <v>129</v>
      </c>
      <c r="BG64" s="8">
        <v>10.65</v>
      </c>
      <c r="BH64" s="8">
        <v>48</v>
      </c>
      <c r="BI64" s="7">
        <v>23</v>
      </c>
      <c r="BJ64" s="7">
        <v>25</v>
      </c>
      <c r="BK64" s="8">
        <v>4</v>
      </c>
      <c r="BL64" s="6" t="s">
        <v>100</v>
      </c>
      <c r="BM64" s="6" t="s">
        <v>101</v>
      </c>
      <c r="BN64" s="6" t="s">
        <v>151</v>
      </c>
      <c r="BO64" s="6" t="s">
        <v>152</v>
      </c>
      <c r="BP64" s="6" t="s">
        <v>104</v>
      </c>
      <c r="BQ64" s="6" t="s">
        <v>105</v>
      </c>
      <c r="BR64" s="6" t="s">
        <v>153</v>
      </c>
      <c r="BS64" s="7">
        <v>2001</v>
      </c>
      <c r="BT64" s="6" t="s">
        <v>107</v>
      </c>
      <c r="BU64" s="6" t="s">
        <v>108</v>
      </c>
      <c r="BV64" s="6" t="s">
        <v>109</v>
      </c>
      <c r="BW64" s="6" t="s">
        <v>110</v>
      </c>
      <c r="BX64" s="6" t="s">
        <v>111</v>
      </c>
      <c r="BY64" s="7" t="b">
        <f t="shared" si="20"/>
        <v>1</v>
      </c>
      <c r="BZ64" s="7" t="b">
        <f t="shared" si="0"/>
        <v>1</v>
      </c>
      <c r="CA64" s="7" t="b">
        <f t="shared" si="1"/>
        <v>1</v>
      </c>
      <c r="CB64" s="7" t="b">
        <f t="shared" si="2"/>
        <v>1</v>
      </c>
      <c r="CC64" s="9">
        <f t="shared" si="21"/>
        <v>1.946291839582</v>
      </c>
      <c r="CD64" s="9">
        <f t="shared" si="22"/>
        <v>22.2081406815709</v>
      </c>
      <c r="CE64" s="9">
        <f t="shared" si="23"/>
        <v>3.26656289978253</v>
      </c>
      <c r="CF64" s="9">
        <f t="shared" si="24"/>
        <v>-0.836283975594507</v>
      </c>
      <c r="CG64" s="9">
        <f t="shared" si="25"/>
        <v>2.296533158683</v>
      </c>
      <c r="CH64" s="9">
        <f t="shared" si="26"/>
        <v>1.48602717032742</v>
      </c>
      <c r="CI64" s="9">
        <f t="shared" si="27"/>
        <v>35.2721815533154</v>
      </c>
      <c r="CJ64" s="9">
        <f t="shared" si="28"/>
        <v>0.697365502384725</v>
      </c>
      <c r="CK64" s="9">
        <f t="shared" si="29"/>
        <v>-0.605681249680667</v>
      </c>
      <c r="CL64" s="9">
        <f t="shared" si="30"/>
        <v>-1.15962828845944</v>
      </c>
      <c r="CM64" s="9">
        <f t="shared" si="31"/>
        <v>9.27351854059854</v>
      </c>
      <c r="CN64" s="10">
        <f t="shared" si="32"/>
        <v>-235785</v>
      </c>
      <c r="CO64" s="11">
        <f t="shared" si="33"/>
        <v>100.12179189322</v>
      </c>
      <c r="CP64" s="11">
        <f t="shared" si="34"/>
        <v>124.125174962764</v>
      </c>
      <c r="CQ64" s="11">
        <f t="shared" si="35"/>
        <v>46.1219727596435</v>
      </c>
      <c r="CR64" s="9">
        <f t="shared" si="36"/>
        <v>0.665610142630745</v>
      </c>
      <c r="CS64" s="10">
        <f t="shared" si="37"/>
        <v>1076916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hzu neee</cp:lastModifiedBy>
  <cp:revision>0</cp:revision>
  <dcterms:created xsi:type="dcterms:W3CDTF">2026-10-20T14:17:00Z</dcterms:created>
  <dcterms:modified xsi:type="dcterms:W3CDTF">2026-10-22T06:25:32Z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A2B5188395BE4182959B13691266EAE0_11</vt:lpwstr>
  </property>
  <property fmtid="{D5CDD505-2E9C-101B-9397-08002B2CF9AE}" pid="4" name="KSOProductBuildVer">
    <vt:lpwstr>1033-12.1.0.29162</vt:lpwstr>
  </property>
</Properties>
</file>